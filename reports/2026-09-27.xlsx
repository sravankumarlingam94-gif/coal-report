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'DRC(9)'!$A$1:$R$90</definedName>
    <definedName name="_xlnm.Print_Area" localSheetId="1">Loading!$A$1:$AE$59</definedName>
  </definedNames>
  <calcPr calcId="1257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3"/>
  <c r="M45"/>
  <c r="M46" s="1"/>
  <c r="M47" s="1"/>
  <c r="U45"/>
  <c r="U46" s="1"/>
  <c r="U47" s="1"/>
  <c r="V45"/>
  <c r="V46" s="1"/>
  <c r="V47" s="1"/>
  <c r="AE45"/>
  <c r="AE46" s="1"/>
  <c r="AE47" s="1"/>
  <c r="E47"/>
  <c r="L47"/>
  <c r="O47"/>
  <c r="AB47"/>
  <c r="AC47"/>
  <c r="Z46"/>
  <c r="Z47" s="1"/>
  <c r="AA46"/>
  <c r="AA47" s="1"/>
  <c r="AB46"/>
  <c r="AC46"/>
  <c r="AD46"/>
  <c r="AD47" s="1"/>
  <c r="C46"/>
  <c r="C47" s="1"/>
  <c r="D46"/>
  <c r="D47" s="1"/>
  <c r="E46"/>
  <c r="F46"/>
  <c r="F47" s="1"/>
  <c r="G46"/>
  <c r="G47" s="1"/>
  <c r="H46"/>
  <c r="H47" s="1"/>
  <c r="I46"/>
  <c r="I47" s="1"/>
  <c r="J46"/>
  <c r="J47" s="1"/>
  <c r="K46"/>
  <c r="K47" s="1"/>
  <c r="L46"/>
  <c r="N46"/>
  <c r="N47" s="1"/>
  <c r="O46"/>
  <c r="P46"/>
  <c r="P47" s="1"/>
  <c r="Q46"/>
  <c r="Q47" s="1"/>
  <c r="R46"/>
  <c r="R47" s="1"/>
  <c r="S46"/>
  <c r="S47" s="1"/>
  <c r="T46"/>
  <c r="T47" s="1"/>
  <c r="X46"/>
  <c r="X47" s="1"/>
  <c r="Y46"/>
  <c r="Y47" s="1"/>
  <c r="B46"/>
  <c r="B47" s="1"/>
  <c r="H28" i="1"/>
  <c r="H26"/>
  <c r="W45" i="3" l="1"/>
  <c r="W46" s="1"/>
  <c r="W47" s="1"/>
  <c r="Q9" i="1"/>
  <c r="P9"/>
  <c r="N34"/>
  <c r="O42"/>
  <c r="AE44" i="3"/>
  <c r="D44"/>
  <c r="M44"/>
  <c r="W44"/>
  <c r="V44"/>
  <c r="U44"/>
  <c r="O9" i="1"/>
  <c r="N9"/>
  <c r="M9"/>
  <c r="L9"/>
  <c r="AE19" i="3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N48" i="1"/>
  <c r="F25"/>
  <c r="F32" s="1"/>
  <c r="W15"/>
  <c r="W17"/>
  <c r="V17"/>
  <c r="T50" i="3"/>
  <c r="S50"/>
  <c r="R50"/>
  <c r="Q50"/>
  <c r="P50"/>
  <c r="O50"/>
  <c r="M50"/>
  <c r="N50"/>
  <c r="L50"/>
  <c r="K50"/>
  <c r="J50"/>
  <c r="I50"/>
  <c r="H50"/>
  <c r="G50"/>
  <c r="F50"/>
  <c r="E50"/>
  <c r="D48"/>
  <c r="D50" s="1"/>
  <c r="C50"/>
  <c r="B50"/>
  <c r="V13" i="1"/>
  <c r="V15"/>
  <c r="W13"/>
  <c r="N22"/>
  <c r="H14"/>
  <c r="AE7" i="3"/>
  <c r="AE8"/>
  <c r="AE9"/>
  <c r="AE10"/>
  <c r="AE11"/>
  <c r="AE12"/>
  <c r="AD12"/>
  <c r="AC12"/>
  <c r="AB12"/>
  <c r="AA12"/>
  <c r="Z12"/>
  <c r="Y12"/>
  <c r="X12"/>
  <c r="M11"/>
  <c r="D11"/>
  <c r="W11"/>
  <c r="D7"/>
  <c r="M7"/>
  <c r="W7"/>
  <c r="D8"/>
  <c r="M8"/>
  <c r="W8"/>
  <c r="D9"/>
  <c r="M9"/>
  <c r="W9"/>
  <c r="D10"/>
  <c r="M10"/>
  <c r="W10"/>
  <c r="W12"/>
  <c r="V11"/>
  <c r="V7"/>
  <c r="V8"/>
  <c r="V9"/>
  <c r="V10"/>
  <c r="V12"/>
  <c r="U11"/>
  <c r="U7"/>
  <c r="U8"/>
  <c r="U9"/>
  <c r="U10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G7" i="1"/>
  <c r="H22"/>
  <c r="G14"/>
  <c r="G17" s="1"/>
  <c r="G22" s="1"/>
  <c r="N64" i="3"/>
  <c r="G32" i="1"/>
  <c r="F34"/>
  <c r="N62" i="3"/>
  <c r="AA59"/>
  <c r="X59"/>
  <c r="AA58"/>
  <c r="X58"/>
  <c r="I51"/>
  <c r="M49" i="1"/>
  <c r="P48"/>
  <c r="M48"/>
  <c r="L48"/>
  <c r="O47"/>
  <c r="R47" s="1"/>
  <c r="H47"/>
  <c r="G47"/>
  <c r="F38"/>
  <c r="F39"/>
  <c r="F42"/>
  <c r="F49"/>
  <c r="F50"/>
  <c r="F36"/>
  <c r="E47"/>
  <c r="D47"/>
  <c r="F7"/>
  <c r="N49"/>
  <c r="P49"/>
  <c r="H32"/>
  <c r="O46"/>
  <c r="V64" i="3"/>
  <c r="V18" i="1"/>
  <c r="F14"/>
  <c r="F22"/>
  <c r="L49"/>
  <c r="V62" i="3"/>
  <c r="O48" i="1" l="1"/>
  <c r="R46"/>
  <c r="O43"/>
  <c r="W18"/>
  <c r="V20" s="1"/>
  <c r="F47"/>
  <c r="O49"/>
</calcChain>
</file>

<file path=xl/sharedStrings.xml><?xml version="1.0" encoding="utf-8"?>
<sst xmlns="http://schemas.openxmlformats.org/spreadsheetml/2006/main" count="419" uniqueCount="309">
  <si>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</si>
  <si>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</si>
  <si>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</si>
  <si>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</si>
  <si>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</si>
  <si>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</si>
  <si>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</si>
  <si>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</si>
  <si>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</si>
  <si>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</si>
  <si>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</si>
  <si>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</si>
  <si>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</si>
  <si>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</si>
  <si>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</si>
  <si>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</si>
  <si>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</si>
  <si>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</si>
  <si>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</si>
  <si>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</si>
  <si>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</si>
  <si>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</si>
  <si>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</si>
  <si>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</si>
  <si>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</si>
  <si>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</si>
  <si>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</si>
  <si>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</si>
  <si>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</si>
  <si>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</si>
  <si>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</si>
  <si>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</si>
  <si>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</si>
  <si>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</si>
  <si>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</si>
  <si>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</si>
  <si>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</si>
  <si>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</si>
  <si>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</si>
  <si>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</si>
  <si>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</si>
  <si>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</si>
  <si>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</si>
  <si>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</si>
  <si>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</si>
  <si>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</si>
  <si>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</si>
  <si>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</si>
  <si>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</si>
  <si>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</si>
  <si>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</si>
  <si>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</si>
  <si>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</si>
  <si>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</si>
  <si>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</si>
  <si>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</si>
  <si>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</si>
  <si>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</si>
  <si>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</si>
  <si>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</si>
  <si>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</si>
  <si>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</si>
  <si>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</si>
  <si>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</si>
  <si>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</si>
  <si>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</si>
  <si>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</si>
  <si>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</si>
  <si>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</si>
  <si>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</si>
  <si>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</si>
  <si>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</si>
  <si>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</si>
  <si>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</si>
  <si>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</si>
  <si>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</si>
  <si>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</si>
  <si>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</si>
  <si>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</si>
  <si>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</si>
  <si>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</si>
  <si>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</si>
  <si>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</si>
  <si>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</si>
  <si>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</si>
  <si>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</si>
  <si>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</si>
  <si>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</si>
  <si>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</si>
  <si>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</si>
  <si>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</si>
  <si>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</si>
  <si>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</si>
  <si>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</si>
  <si>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</si>
  <si>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</si>
  <si>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</si>
  <si>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</si>
  <si>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</si>
  <si>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</si>
  <si>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</si>
  <si>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</si>
  <si>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</si>
  <si>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</si>
  <si>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</si>
  <si>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</si>
  <si>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</si>
  <si>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</si>
  <si>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</si>
  <si>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</si>
  <si>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</si>
  <si>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</si>
  <si>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</si>
  <si>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</si>
  <si>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</si>
  <si>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</si>
  <si>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</si>
  <si>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</si>
  <si>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</si>
  <si>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</si>
  <si>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</si>
  <si>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</si>
  <si>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</si>
  <si>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</si>
  <si>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</si>
  <si>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</si>
  <si>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</si>
  <si>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</si>
  <si>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</si>
  <si>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</si>
  <si>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</si>
  <si>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</si>
  <si>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</si>
  <si>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</si>
  <si>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</si>
  <si>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</si>
  <si>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</si>
  <si>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</si>
  <si>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</si>
  <si>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</si>
  <si>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</si>
  <si>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</si>
  <si>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</si>
  <si>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</si>
  <si>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</si>
  <si>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</si>
  <si>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</si>
  <si>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</si>
  <si>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</si>
  <si>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</si>
  <si>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</si>
  <si>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</si>
  <si>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</si>
  <si>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</si>
  <si>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</si>
  <si>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</si>
  <si>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</si>
  <si>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</si>
  <si>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</si>
  <si>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</si>
  <si>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</si>
  <si>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</si>
  <si>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ECL ( High Grade Coal ) Rakes in pipeline to SDSTPS ( APPDCL ) at 10.00 AM</t>
  </si>
  <si>
    <t>Bhubaneswari  OCP</t>
  </si>
  <si>
    <t>Bharatpur  OCP</t>
  </si>
  <si>
    <t>04.09.2026</t>
  </si>
  <si>
    <t>: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</si>
  <si>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</si>
  <si>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</si>
  <si>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</si>
  <si>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</si>
  <si>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</si>
  <si>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</si>
  <si>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</si>
  <si>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</si>
  <si>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</si>
  <si>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</si>
  <si>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</si>
  <si>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</si>
  <si>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</si>
  <si>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</si>
  <si>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</si>
  <si>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09.09.2026</t>
  </si>
  <si>
    <t>11.09.2026</t>
  </si>
  <si>
    <t>10.09.2026</t>
  </si>
  <si>
    <t>Coal Stocks</t>
  </si>
  <si>
    <t xml:space="preserve"> At Loading Port 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</si>
  <si>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</si>
  <si>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</si>
  <si>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</si>
  <si>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</si>
  <si>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</si>
  <si>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</si>
  <si>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</si>
  <si>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</si>
  <si>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>16.09.2026</t>
  </si>
  <si>
    <t xml:space="preserve"> Number of Rakes Diverted from  RTPP to  NTTPS  on</t>
  </si>
  <si>
    <t>15</t>
  </si>
  <si>
    <t>MV AP DUBROVNIK  ( (  ADANI ) - RTPP  )</t>
  </si>
  <si>
    <t>Paradip</t>
  </si>
  <si>
    <t>50000          (16.09.26)</t>
  </si>
  <si>
    <t>30.10.2026</t>
  </si>
  <si>
    <t xml:space="preserve">  RTPP Rake dropped at NTTPS</t>
  </si>
  <si>
    <t>17.09.2026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</si>
  <si>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</si>
  <si>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</si>
  <si>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</si>
  <si>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</si>
  <si>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</si>
  <si>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</si>
  <si>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18.09.2026</t>
  </si>
  <si>
    <t xml:space="preserve">Pending </t>
  </si>
  <si>
    <t>19-09.2026</t>
  </si>
  <si>
    <t>22.09.2026</t>
  </si>
  <si>
    <t>MV RIPLEY PRIDE ((  ENNORE )- RTPP  )</t>
  </si>
  <si>
    <t>21.09.2026</t>
  </si>
  <si>
    <t>20.09.2026</t>
  </si>
  <si>
    <t>80</t>
  </si>
  <si>
    <t>Krishnapatnam</t>
  </si>
  <si>
    <t>50000          (12.09.26)</t>
  </si>
  <si>
    <t>05.11.2026</t>
  </si>
  <si>
    <t>Sdstps to RTPM</t>
  </si>
  <si>
    <t>23.09.2026</t>
  </si>
  <si>
    <t>25.09.2026</t>
  </si>
  <si>
    <t>At Unloading  Port</t>
  </si>
  <si>
    <t>Coal  in Vessel/transist</t>
  </si>
  <si>
    <t>24.09.2026</t>
  </si>
  <si>
    <t>25.09.26</t>
  </si>
  <si>
    <t xml:space="preserve">Diverted NTTPS to  RTPP </t>
  </si>
  <si>
    <t>AKPL to NTTPS ( AKPK / ECL)</t>
  </si>
  <si>
    <t>54</t>
  </si>
  <si>
    <t>Washed  Coal (  SSMT )</t>
  </si>
  <si>
    <t>AIPO (  ENNORE PORT   ) passing   Attipattu  (  345 )</t>
  </si>
  <si>
    <t xml:space="preserve">Completed </t>
  </si>
  <si>
    <t>26.09.2026</t>
  </si>
  <si>
    <t>Railway E- payment Status as on Today: 27.09.2026</t>
  </si>
  <si>
    <t xml:space="preserve">Unloading </t>
  </si>
  <si>
    <t>MV  LILA  FUJI  (  ( SCCPL ( Sarat )) to NTTPS  )</t>
  </si>
  <si>
    <t xml:space="preserve">Kakinada </t>
  </si>
  <si>
    <t xml:space="preserve">Sailed </t>
  </si>
  <si>
    <t>28.09.2026</t>
  </si>
  <si>
    <t>50000          (26.09.26)</t>
  </si>
  <si>
    <t>09.11.2026</t>
  </si>
  <si>
    <t>AKPK (  ADANI PORT )</t>
  </si>
  <si>
    <t>IB (  BOMB - Washed Coal   ) passing   Brajrajnagar  (  1347  )</t>
  </si>
  <si>
    <t>IB (  MLGB - Washed Coal   ) passing   Brajrajnagar  (  1347  )</t>
  </si>
  <si>
    <t>27.09.2026</t>
  </si>
  <si>
    <t>06.30</t>
  </si>
  <si>
    <t>08.50</t>
  </si>
  <si>
    <t>AIPO (  ENNORE PORT )</t>
  </si>
  <si>
    <t>27.06.2026</t>
  </si>
  <si>
    <t>47</t>
  </si>
  <si>
    <t>IB (  LMGB )</t>
  </si>
  <si>
    <t>07.30</t>
  </si>
  <si>
    <t>Pending</t>
  </si>
  <si>
    <t>05.30</t>
  </si>
  <si>
    <t>04.00</t>
  </si>
  <si>
    <t>IB (  BOCP )</t>
  </si>
  <si>
    <t>01.15</t>
  </si>
  <si>
    <t>46 Balance</t>
  </si>
  <si>
    <t>50 Balance</t>
  </si>
  <si>
    <t>ENNORE</t>
  </si>
  <si>
    <t>Sailed</t>
  </si>
  <si>
    <t>30.09.2026</t>
  </si>
  <si>
    <t>MV RIPLEY PINNACLE  ( (  ADANI ) - RTPP  )</t>
  </si>
  <si>
    <t>Nominated</t>
  </si>
  <si>
    <t>10.00</t>
  </si>
  <si>
    <t>IB (  MLGB - Washed Coal   ) passing  Proddatur  (  38  )</t>
  </si>
  <si>
    <t>AIPO (  ENNORE PORT   ) passing   Gangayapalle  (  46 )</t>
  </si>
  <si>
    <t>IB (  MLGB - Washed Coal   ) passing  Nossam  (  71  )</t>
  </si>
  <si>
    <t>AKPK (  ADANI PORT   ) passing   Cuddapah   (  63 )</t>
  </si>
  <si>
    <t>AKPK (  ADANI PORT   ) passing    Nandalur   (  103 )</t>
  </si>
  <si>
    <t>AIPO (  ENNORE PORT   ) passing   Nandalur   (  103 )</t>
  </si>
  <si>
    <t>AIPO (  ENNORE PORT   ) passing   Rajampeta   (  114  )</t>
  </si>
  <si>
    <t>AKPK (  ADANI PORT   ) passing    Vellikallu   (  170 )</t>
  </si>
  <si>
    <t>AKPK (  ADANI PORT   ) passing    Venkatachalam Road   (  230 )</t>
  </si>
  <si>
    <t>AKPK (  ADANI PORT   ) passing    Krishnapatnam   (  244 )</t>
  </si>
  <si>
    <t>IB (  MLGB - Washed Coal   ) passing   Nallapadu  (  399  )</t>
  </si>
  <si>
    <t xml:space="preserve"> Rakes  in pipeline as on  28.09.2026@10.00 Hrs 
</t>
  </si>
  <si>
    <t>IB (  MLGB - Washed Coal   ) passing   Bhatapara  (  1370  )</t>
  </si>
  <si>
    <t>IB (  BOMB - Washed Coal   ) passing   Sitanagaram (  909  )</t>
  </si>
  <si>
    <t>IB (  BOMB - Washed Coal   ) passing   Kirodimalnagar  (  1414  )</t>
  </si>
  <si>
    <t>ECL (  POCP - High Grade Coal) passing  West DN Dept Cabin  (  1628  )</t>
  </si>
  <si>
    <t>IB (   BOCB ) passing   Gunadala  (  23  )</t>
  </si>
  <si>
    <t>Washed Coal (   SSMT  ) passing    Nuzividu  (  57  )</t>
  </si>
  <si>
    <t>IB (   LMGB ) passing    Nidadavolu (  144 )</t>
  </si>
  <si>
    <t>Washed Coal (   SSMT  ) passing    Kaldhari   (  151  )</t>
  </si>
  <si>
    <t>Washed Coal (   SSMT  ) passing    Godavari   (  163  )</t>
  </si>
  <si>
    <t>IB (   LMGB ) passing    Kadiyam  (  176 )</t>
  </si>
  <si>
    <t>IB (   BOCP ) passing    Kadiyam  (  176 )</t>
  </si>
  <si>
    <t>IB (   BOCP  ) passing    Gollaprolu  (  234  )</t>
  </si>
  <si>
    <t>IB (   LMGB ) passing    Hamsavaram  (  262 )</t>
  </si>
  <si>
    <t>Washed Coal (   SSMT  ) passing    Duvvada   (  350  )</t>
  </si>
  <si>
    <t>IB (   BOCP ) passing    Gajapatinagaram  (  436 )</t>
  </si>
  <si>
    <t>IB (   LOCM ) passing    Simhachalam North  (  363 )</t>
  </si>
  <si>
    <t>Washed Coal (   SSMT  ) passing    Palasa   (  556  )</t>
  </si>
  <si>
    <t>ECL (  POCP - High Grade Coal) passing  Brahmapur  ( 630  )</t>
  </si>
  <si>
    <t>Washed  Coal (   SSMT ) passing   Loisingha  (  760  )</t>
  </si>
  <si>
    <t>ECL (  PSBP - High Grade Coal) passing   Khurda Road   (  777  )</t>
  </si>
  <si>
    <t>Washed  Coal (   SSMT ) passing   Jujomura (  898  )</t>
  </si>
  <si>
    <t>Washed  Coal (   SSMT ) passing   Bhubaneswar New  (  809  )</t>
  </si>
  <si>
    <t>IB (   LMGB ) passing    Brajraj Nagar  (  917 )</t>
  </si>
  <si>
    <t>IB (   LOCM  ) passing   Lajkura Cabin  (  922 )</t>
  </si>
  <si>
    <t>IB (   BOCB  ) passing    Dadhapara  (  980 )</t>
  </si>
  <si>
    <t>IB (  BOCG  ) passing   Jairam Nagar  (  1000 )</t>
  </si>
  <si>
    <t>ECL (  PSBP - High Grade Coal) passing  Pandabeswar   (  1350  )</t>
  </si>
  <si>
    <t>BTPN Fuel Oil  (  HPCL ) passing   Vishakapatnam Port Yard at 05.00 on 28.09.2026  (  367 )</t>
  </si>
  <si>
    <t>28.09.26</t>
  </si>
  <si>
    <t>28 Balance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</si>
</sst>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9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4"/>
      <name val="Trebuchet MS"/>
      <family val="2"/>
    </font>
    <font>
      <sz val="14"/>
      <color rgb="FFFF0000"/>
      <name val="Trebuchet MS"/>
      <family val="2"/>
    </font>
    <font>
      <b/>
      <i/>
      <sz val="12"/>
      <color rgb="FFFF0000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8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107" fillId="0" borderId="0" xfId="0" applyFont="1" applyAlignment="1">
      <alignment vertical="center"/>
    </xf>
    <xf numFmtId="0" fontId="100" fillId="0" borderId="0" xfId="0" applyFont="1" applyAlignment="1">
      <alignment horizontal="center" vertical="center"/>
    </xf>
    <xf numFmtId="0" fontId="108" fillId="6" borderId="0" xfId="0" applyFont="1" applyFill="1" applyAlignment="1">
      <alignment horizontal="center" vertic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left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106" fillId="0" borderId="0" xfId="0" applyFont="1" applyAlignment="1">
      <alignment horizontal="left" vertic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2"/>
  <sheetViews>
    <sheetView tabSelected="1" topLeftCell="H4" zoomScaleNormal="100" zoomScaleSheetLayoutView="40" workbookViewId="0">
      <selection activeCell="Q56" sqref="Q56"/>
    </sheetView>
  </sheetViews>
  <sheetFormatPr defaultColWidth="9" defaultRowHeight="12.75"/>
  <cols>
    <col min="1" max="1" width="1.5703125" hidden="1" customWidth="1"/>
    <col min="2" max="2" width="7.28515625" customWidth="1"/>
    <col min="3" max="3" width="29.7109375" style="1" customWidth="1"/>
    <col min="4" max="4" width="14.85546875" style="1" customWidth="1"/>
    <col min="5" max="5" width="14.28515625" customWidth="1"/>
    <col min="6" max="6" width="17.5703125" customWidth="1"/>
    <col min="7" max="7" width="16.5703125" customWidth="1"/>
    <col min="8" max="8" width="14.85546875" customWidth="1"/>
    <col min="9" max="9" width="5" customWidth="1"/>
    <col min="10" max="10" width="12.5703125" style="2" customWidth="1"/>
    <col min="11" max="11" width="24.7109375" style="2" customWidth="1"/>
    <col min="12" max="12" width="16.85546875" style="2" customWidth="1"/>
    <col min="13" max="13" width="16.42578125" style="2" customWidth="1"/>
    <col min="14" max="14" width="16.28515625" customWidth="1"/>
    <col min="15" max="15" width="19" customWidth="1"/>
    <col min="16" max="16" width="20" customWidth="1"/>
    <col min="17" max="17" width="14.7109375" customWidth="1"/>
    <col min="18" max="18" width="10.5703125" customWidth="1"/>
    <col min="19" max="19" width="10.28515625" customWidth="1"/>
    <col min="21" max="21" width="17" customWidth="1"/>
    <col min="22" max="22" width="15.140625" customWidth="1"/>
    <col min="23" max="23" width="15.5703125" customWidth="1"/>
  </cols>
  <sheetData>
    <row r="1" spans="1:23" ht="30" customHeight="1">
      <c r="A1" s="3"/>
      <c r="B1" s="4"/>
      <c r="C1" s="329" t="s">
        <v>0</v>
      </c>
      <c r="D1" s="329"/>
      <c r="E1" s="329"/>
      <c r="F1" s="329"/>
      <c r="G1" s="329"/>
      <c r="H1" s="329"/>
      <c r="I1" s="329"/>
      <c r="J1" s="329"/>
      <c r="K1" s="67" t="s">
        <v>246</v>
      </c>
      <c r="L1" s="64"/>
      <c r="M1" s="64"/>
      <c r="N1" s="64"/>
      <c r="O1" s="64"/>
      <c r="P1" s="64"/>
      <c r="Q1" s="64"/>
    </row>
    <row r="2" spans="1:23" ht="15.6" customHeight="1" thickBot="1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>
      <c r="A3" s="3"/>
      <c r="B3" s="4"/>
      <c r="C3" s="332" t="s">
        <v>91</v>
      </c>
      <c r="D3" s="333"/>
      <c r="E3" s="333"/>
      <c r="F3" s="89" t="s">
        <v>1</v>
      </c>
      <c r="G3" s="89" t="s">
        <v>2</v>
      </c>
      <c r="H3" s="90" t="s">
        <v>3</v>
      </c>
      <c r="I3" s="59" t="s">
        <v>100</v>
      </c>
      <c r="J3" s="330" t="s">
        <v>101</v>
      </c>
      <c r="K3" s="330"/>
      <c r="L3" s="330"/>
      <c r="M3" s="330"/>
      <c r="N3" s="330"/>
      <c r="O3" s="331"/>
      <c r="P3" s="331"/>
    </row>
    <row r="4" spans="1:23" ht="48" customHeight="1">
      <c r="A4" s="3"/>
      <c r="B4" s="394"/>
      <c r="C4" s="334" t="s">
        <v>4</v>
      </c>
      <c r="D4" s="335"/>
      <c r="E4" s="335"/>
      <c r="F4" s="91">
        <v>205</v>
      </c>
      <c r="G4" s="91">
        <v>74</v>
      </c>
      <c r="H4" s="92"/>
      <c r="I4" s="4"/>
      <c r="J4" s="342" t="s">
        <v>93</v>
      </c>
      <c r="K4" s="342"/>
      <c r="L4" s="279" t="s">
        <v>163</v>
      </c>
      <c r="M4" s="304" t="s">
        <v>164</v>
      </c>
      <c r="N4" s="304" t="s">
        <v>174</v>
      </c>
      <c r="O4" s="279" t="s">
        <v>181</v>
      </c>
      <c r="P4" s="279" t="s">
        <v>163</v>
      </c>
      <c r="Q4" s="304" t="s">
        <v>174</v>
      </c>
      <c r="R4" s="45"/>
      <c r="S4" s="45"/>
    </row>
    <row r="5" spans="1:23" ht="42.6" customHeight="1">
      <c r="A5" s="3"/>
      <c r="B5" s="394"/>
      <c r="C5" s="347" t="s">
        <v>6</v>
      </c>
      <c r="D5" s="348"/>
      <c r="E5" s="348"/>
      <c r="F5" s="91">
        <v>499</v>
      </c>
      <c r="G5" s="91">
        <v>407</v>
      </c>
      <c r="H5" s="92" t="s">
        <v>7</v>
      </c>
      <c r="I5" s="4"/>
      <c r="J5" s="349" t="s">
        <v>56</v>
      </c>
      <c r="K5" s="349"/>
      <c r="L5" s="288" t="s">
        <v>188</v>
      </c>
      <c r="M5" s="305" t="s">
        <v>190</v>
      </c>
      <c r="N5" s="305" t="s">
        <v>200</v>
      </c>
      <c r="O5" s="288" t="s">
        <v>219</v>
      </c>
      <c r="P5" s="288" t="s">
        <v>241</v>
      </c>
      <c r="Q5" s="288" t="s">
        <v>241</v>
      </c>
      <c r="R5" s="46"/>
      <c r="S5" s="46"/>
    </row>
    <row r="6" spans="1:23" ht="23.45" customHeight="1">
      <c r="A6" s="3"/>
      <c r="B6" s="394"/>
      <c r="C6" s="334" t="s">
        <v>8</v>
      </c>
      <c r="D6" s="335"/>
      <c r="E6" s="335"/>
      <c r="F6" s="91">
        <v>605</v>
      </c>
      <c r="G6" s="93">
        <v>313</v>
      </c>
      <c r="H6" s="92" t="s">
        <v>7</v>
      </c>
      <c r="I6" s="4"/>
      <c r="J6" s="356" t="s">
        <v>9</v>
      </c>
      <c r="K6" s="356"/>
      <c r="L6" s="289" t="s">
        <v>187</v>
      </c>
      <c r="M6" s="306" t="s">
        <v>191</v>
      </c>
      <c r="N6" s="306" t="s">
        <v>201</v>
      </c>
      <c r="O6" s="289" t="s">
        <v>220</v>
      </c>
      <c r="P6" s="289" t="s">
        <v>242</v>
      </c>
      <c r="Q6" s="289" t="s">
        <v>242</v>
      </c>
      <c r="R6" s="47"/>
      <c r="S6" s="47"/>
    </row>
    <row r="7" spans="1:23" ht="22.9" customHeight="1">
      <c r="A7" s="3"/>
      <c r="B7" s="394"/>
      <c r="C7" s="334" t="s">
        <v>10</v>
      </c>
      <c r="D7" s="335"/>
      <c r="E7" s="335"/>
      <c r="F7" s="164">
        <f>F4+F5-F6</f>
        <v>99</v>
      </c>
      <c r="G7" s="164">
        <f>G4+G5-G6</f>
        <v>168</v>
      </c>
      <c r="H7" s="94" t="s">
        <v>7</v>
      </c>
      <c r="I7" s="8"/>
      <c r="J7" s="355" t="s">
        <v>57</v>
      </c>
      <c r="K7" s="355"/>
      <c r="L7" s="290">
        <v>2813.68</v>
      </c>
      <c r="M7" s="307">
        <v>1982.46</v>
      </c>
      <c r="N7" s="307">
        <v>4675.45</v>
      </c>
      <c r="O7" s="290">
        <v>4160.8</v>
      </c>
      <c r="P7" s="290">
        <v>0</v>
      </c>
      <c r="Q7" s="290">
        <v>0</v>
      </c>
      <c r="R7" s="48"/>
      <c r="S7" s="48"/>
    </row>
    <row r="8" spans="1:23" ht="26.25" customHeight="1" thickBot="1">
      <c r="A8" s="3"/>
      <c r="B8" s="4"/>
      <c r="C8" s="345" t="s">
        <v>116</v>
      </c>
      <c r="D8" s="346"/>
      <c r="E8" s="346"/>
      <c r="F8" s="103">
        <v>18</v>
      </c>
      <c r="G8" s="103">
        <v>58</v>
      </c>
      <c r="H8" s="95"/>
      <c r="I8" s="9"/>
      <c r="J8" s="356" t="s">
        <v>59</v>
      </c>
      <c r="K8" s="356"/>
      <c r="L8" s="290">
        <v>35992.86</v>
      </c>
      <c r="M8" s="307">
        <v>36126.93</v>
      </c>
      <c r="N8" s="307">
        <v>42814.13</v>
      </c>
      <c r="O8" s="290">
        <v>7831.76</v>
      </c>
      <c r="P8" s="290">
        <v>0</v>
      </c>
      <c r="Q8" s="290">
        <v>0</v>
      </c>
      <c r="R8" s="48"/>
      <c r="S8" s="48"/>
    </row>
    <row r="9" spans="1:23" ht="27" customHeight="1" thickBot="1">
      <c r="A9" s="3"/>
      <c r="B9" s="4"/>
      <c r="C9" s="10"/>
      <c r="D9" s="10"/>
      <c r="E9" s="4"/>
      <c r="I9" s="11"/>
      <c r="J9" s="356" t="s">
        <v>58</v>
      </c>
      <c r="K9" s="356"/>
      <c r="L9" s="291">
        <f t="shared" ref="L9:Q9" si="0">50000-L8</f>
        <v>14007.14</v>
      </c>
      <c r="M9" s="308">
        <f t="shared" si="0"/>
        <v>13873.07</v>
      </c>
      <c r="N9" s="308">
        <f t="shared" si="0"/>
        <v>7185.8700000000026</v>
      </c>
      <c r="O9" s="291">
        <f t="shared" si="0"/>
        <v>42168.24</v>
      </c>
      <c r="P9" s="291">
        <f t="shared" si="0"/>
        <v>50000</v>
      </c>
      <c r="Q9" s="291">
        <f t="shared" si="0"/>
        <v>50000</v>
      </c>
      <c r="R9" s="49"/>
      <c r="S9" s="49"/>
    </row>
    <row r="10" spans="1:23" ht="20.100000000000001" customHeight="1">
      <c r="A10" s="3"/>
      <c r="B10" s="394"/>
      <c r="C10" s="336" t="s">
        <v>92</v>
      </c>
      <c r="D10" s="337"/>
      <c r="E10" s="338"/>
      <c r="F10" s="89" t="s">
        <v>1</v>
      </c>
      <c r="G10" s="89" t="s">
        <v>2</v>
      </c>
      <c r="H10" s="90" t="s">
        <v>3</v>
      </c>
      <c r="I10" s="12"/>
      <c r="J10" s="351" t="s">
        <v>144</v>
      </c>
      <c r="K10" s="352"/>
      <c r="L10" s="343">
        <v>24900</v>
      </c>
      <c r="M10" s="344"/>
      <c r="N10" s="104"/>
      <c r="O10" s="104"/>
      <c r="P10" s="104"/>
      <c r="Q10" s="104"/>
      <c r="R10" s="104"/>
      <c r="S10" s="104"/>
    </row>
    <row r="11" spans="1:23" ht="23.45" customHeight="1" thickBot="1">
      <c r="A11" s="3"/>
      <c r="B11" s="394"/>
      <c r="C11" s="339" t="s">
        <v>4</v>
      </c>
      <c r="D11" s="340"/>
      <c r="E11" s="341"/>
      <c r="F11" s="69">
        <v>90057</v>
      </c>
      <c r="G11" s="69">
        <v>96646</v>
      </c>
      <c r="H11" s="72">
        <v>136858.56</v>
      </c>
      <c r="I11" s="12"/>
      <c r="J11" s="353" t="s">
        <v>60</v>
      </c>
      <c r="K11" s="354"/>
      <c r="L11" s="357">
        <v>8000</v>
      </c>
      <c r="M11" s="358"/>
      <c r="N11" s="104"/>
      <c r="O11" s="86"/>
      <c r="P11" s="350"/>
      <c r="Q11" s="350"/>
      <c r="R11" s="350"/>
      <c r="S11" s="107"/>
    </row>
    <row r="12" spans="1:23" ht="24" thickBot="1">
      <c r="A12" s="3"/>
      <c r="B12" s="394"/>
      <c r="C12" s="347" t="s">
        <v>6</v>
      </c>
      <c r="D12" s="348"/>
      <c r="E12" s="348"/>
      <c r="F12" s="69">
        <v>41404</v>
      </c>
      <c r="G12" s="69">
        <v>21351</v>
      </c>
      <c r="H12" s="72">
        <v>19058.04</v>
      </c>
      <c r="I12" s="12"/>
      <c r="N12" s="105"/>
      <c r="O12" s="86"/>
      <c r="T12" s="365" t="s">
        <v>185</v>
      </c>
      <c r="U12" s="365"/>
      <c r="V12" s="300" t="s">
        <v>49</v>
      </c>
      <c r="W12" s="300" t="s">
        <v>2</v>
      </c>
    </row>
    <row r="13" spans="1:23" ht="37.15" customHeight="1" thickBot="1">
      <c r="A13" s="3"/>
      <c r="B13" s="394"/>
      <c r="C13" s="339" t="s">
        <v>11</v>
      </c>
      <c r="D13" s="340"/>
      <c r="E13" s="341"/>
      <c r="F13" s="69">
        <v>35475</v>
      </c>
      <c r="G13" s="69">
        <v>19748</v>
      </c>
      <c r="H13" s="72">
        <v>24605</v>
      </c>
      <c r="I13" s="12"/>
      <c r="J13" s="336" t="s">
        <v>175</v>
      </c>
      <c r="K13" s="337"/>
      <c r="L13" s="337"/>
      <c r="M13" s="338"/>
      <c r="N13" s="143" t="s">
        <v>95</v>
      </c>
      <c r="O13" s="106"/>
      <c r="T13" s="365" t="s">
        <v>186</v>
      </c>
      <c r="U13" s="365"/>
      <c r="V13" s="295">
        <f>N19+N20</f>
        <v>91938</v>
      </c>
      <c r="W13" s="296">
        <f>N15+N16+N17</f>
        <v>103333</v>
      </c>
    </row>
    <row r="14" spans="1:23" s="13" customFormat="1" ht="24.6" customHeight="1" thickBot="1">
      <c r="A14" s="14"/>
      <c r="B14" s="395"/>
      <c r="C14" s="389" t="s">
        <v>12</v>
      </c>
      <c r="D14" s="390"/>
      <c r="E14" s="391"/>
      <c r="F14" s="73">
        <f>F11+F12-F13</f>
        <v>95986</v>
      </c>
      <c r="G14" s="73">
        <f t="shared" ref="G14" si="1">G11+G12-G13</f>
        <v>98249</v>
      </c>
      <c r="H14" s="74">
        <f>H11+H12-H13</f>
        <v>131311.6</v>
      </c>
      <c r="I14" s="15"/>
      <c r="J14" s="387" t="s">
        <v>2</v>
      </c>
      <c r="K14" s="388"/>
      <c r="L14" s="388"/>
      <c r="M14" s="327"/>
      <c r="N14" s="144"/>
      <c r="O14" s="16"/>
      <c r="P14" s="287"/>
      <c r="T14" s="385"/>
      <c r="U14" s="386"/>
      <c r="V14" s="298"/>
      <c r="W14" s="298"/>
    </row>
    <row r="15" spans="1:23" ht="20.100000000000001" customHeight="1" thickBot="1">
      <c r="A15" s="3"/>
      <c r="B15" s="394"/>
      <c r="C15" s="359"/>
      <c r="D15" s="360"/>
      <c r="E15" s="361"/>
      <c r="F15" s="75"/>
      <c r="G15" s="76"/>
      <c r="H15" s="76"/>
      <c r="I15" s="17"/>
      <c r="J15" s="376" t="s">
        <v>137</v>
      </c>
      <c r="K15" s="377"/>
      <c r="L15" s="377"/>
      <c r="M15" s="378"/>
      <c r="N15" s="153">
        <v>66222</v>
      </c>
      <c r="O15" s="18"/>
      <c r="T15" s="365" t="s">
        <v>224</v>
      </c>
      <c r="U15" s="365"/>
      <c r="V15" s="294">
        <f>N31+N32</f>
        <v>4091</v>
      </c>
      <c r="W15" s="294">
        <f>N26+N27+N28</f>
        <v>36758</v>
      </c>
    </row>
    <row r="16" spans="1:23" ht="21">
      <c r="A16" s="3"/>
      <c r="B16" s="394"/>
      <c r="C16" s="379" t="s">
        <v>118</v>
      </c>
      <c r="D16" s="380"/>
      <c r="E16" s="381"/>
      <c r="F16" s="89" t="s">
        <v>49</v>
      </c>
      <c r="G16" s="89" t="s">
        <v>2</v>
      </c>
      <c r="H16" s="90" t="s">
        <v>3</v>
      </c>
      <c r="I16" s="17"/>
      <c r="J16" s="382" t="s">
        <v>146</v>
      </c>
      <c r="K16" s="383"/>
      <c r="L16" s="383"/>
      <c r="M16" s="384"/>
      <c r="N16" s="154">
        <v>4040</v>
      </c>
      <c r="P16" s="65"/>
      <c r="Q16" s="65"/>
      <c r="R16" s="65"/>
      <c r="S16" s="65"/>
      <c r="T16" s="371"/>
      <c r="U16" s="372"/>
      <c r="V16" s="299"/>
      <c r="W16" s="299"/>
    </row>
    <row r="17" spans="1:23" ht="20.100000000000001" customHeight="1">
      <c r="A17" s="3"/>
      <c r="B17" s="394"/>
      <c r="C17" s="339" t="s">
        <v>122</v>
      </c>
      <c r="D17" s="340"/>
      <c r="E17" s="341"/>
      <c r="F17" s="71">
        <v>64569</v>
      </c>
      <c r="G17" s="69">
        <f>G14-G18-G19-G20</f>
        <v>72211</v>
      </c>
      <c r="H17" s="69">
        <v>43532.52</v>
      </c>
      <c r="I17" s="17"/>
      <c r="J17" s="362" t="s">
        <v>147</v>
      </c>
      <c r="K17" s="363"/>
      <c r="L17" s="363"/>
      <c r="M17" s="364"/>
      <c r="N17" s="154">
        <v>33071</v>
      </c>
      <c r="P17" s="65"/>
      <c r="Q17" s="65"/>
      <c r="R17" s="65"/>
      <c r="S17" s="65"/>
      <c r="T17" s="367" t="s">
        <v>225</v>
      </c>
      <c r="U17" s="368"/>
      <c r="V17" s="293">
        <f>N41</f>
        <v>78253</v>
      </c>
      <c r="W17" s="293">
        <f>SUM(N37:N38)</f>
        <v>99340</v>
      </c>
    </row>
    <row r="18" spans="1:23" ht="21">
      <c r="A18" s="3"/>
      <c r="B18" s="394"/>
      <c r="C18" s="339" t="s">
        <v>119</v>
      </c>
      <c r="D18" s="340"/>
      <c r="E18" s="341"/>
      <c r="F18" s="71">
        <v>18847</v>
      </c>
      <c r="G18" s="69">
        <v>15671</v>
      </c>
      <c r="H18" s="69">
        <v>55710.5</v>
      </c>
      <c r="I18" s="17"/>
      <c r="J18" s="373" t="s">
        <v>94</v>
      </c>
      <c r="K18" s="374"/>
      <c r="L18" s="374"/>
      <c r="M18" s="375"/>
      <c r="N18" s="150"/>
      <c r="T18" s="369" t="s">
        <v>5</v>
      </c>
      <c r="U18" s="370"/>
      <c r="V18" s="301">
        <f>SUM(V13:V17)</f>
        <v>174282</v>
      </c>
      <c r="W18" s="301">
        <f>SUM(W13:W17)</f>
        <v>239431</v>
      </c>
    </row>
    <row r="19" spans="1:23" ht="20.100000000000001" customHeight="1">
      <c r="A19" s="3"/>
      <c r="B19" s="394"/>
      <c r="C19" s="339" t="s">
        <v>120</v>
      </c>
      <c r="D19" s="340"/>
      <c r="E19" s="341"/>
      <c r="F19" s="71">
        <v>12570</v>
      </c>
      <c r="G19" s="69">
        <v>10367</v>
      </c>
      <c r="H19" s="69">
        <v>32068.58</v>
      </c>
      <c r="I19" s="19"/>
      <c r="J19" s="362" t="s">
        <v>148</v>
      </c>
      <c r="K19" s="363"/>
      <c r="L19" s="363"/>
      <c r="M19" s="364"/>
      <c r="N19" s="150">
        <v>5184</v>
      </c>
    </row>
    <row r="20" spans="1:23" ht="25.5" customHeight="1">
      <c r="A20" s="3"/>
      <c r="B20" s="394"/>
      <c r="C20" s="339" t="s">
        <v>155</v>
      </c>
      <c r="D20" s="340"/>
      <c r="E20" s="341"/>
      <c r="F20" s="71">
        <v>0</v>
      </c>
      <c r="G20" s="69">
        <v>0</v>
      </c>
      <c r="H20" s="69"/>
      <c r="I20" s="19"/>
      <c r="J20" s="362" t="s">
        <v>161</v>
      </c>
      <c r="K20" s="363"/>
      <c r="L20" s="363"/>
      <c r="M20" s="364"/>
      <c r="N20" s="150">
        <v>86754</v>
      </c>
      <c r="S20" s="366" t="s">
        <v>209</v>
      </c>
      <c r="T20" s="366"/>
      <c r="U20" s="366"/>
      <c r="V20" s="446">
        <f>V18+W18</f>
        <v>413713</v>
      </c>
      <c r="W20" s="446"/>
    </row>
    <row r="21" spans="1:23" ht="20.100000000000001" customHeight="1">
      <c r="A21" s="3"/>
      <c r="B21" s="394"/>
      <c r="C21" s="339" t="s">
        <v>121</v>
      </c>
      <c r="D21" s="340"/>
      <c r="E21" s="341"/>
      <c r="F21" s="71" t="s">
        <v>117</v>
      </c>
      <c r="G21" s="97"/>
      <c r="H21" s="69">
        <v>0</v>
      </c>
      <c r="I21" s="19"/>
      <c r="J21" s="362"/>
      <c r="K21" s="363"/>
      <c r="L21" s="363"/>
      <c r="M21" s="364"/>
      <c r="N21" s="150"/>
      <c r="P21" s="284"/>
    </row>
    <row r="22" spans="1:23" ht="23.45" customHeight="1" thickBot="1">
      <c r="A22" s="3"/>
      <c r="B22" s="394"/>
      <c r="C22" s="421" t="s">
        <v>123</v>
      </c>
      <c r="D22" s="422"/>
      <c r="E22" s="423"/>
      <c r="F22" s="73">
        <f>SUM(F17:F21)</f>
        <v>95986</v>
      </c>
      <c r="G22" s="73">
        <f>SUM(G17:G21)</f>
        <v>98249</v>
      </c>
      <c r="H22" s="98">
        <f>SUM(H17:H21)</f>
        <v>131311.59999999998</v>
      </c>
      <c r="I22" s="19"/>
      <c r="J22" s="448" t="s">
        <v>141</v>
      </c>
      <c r="K22" s="449"/>
      <c r="L22" s="449"/>
      <c r="M22" s="450"/>
      <c r="N22" s="155">
        <f>SUM(N15:N21)</f>
        <v>195271</v>
      </c>
      <c r="P22" s="284"/>
    </row>
    <row r="23" spans="1:23" ht="20.100000000000001" customHeight="1" thickBot="1">
      <c r="A23" s="3"/>
      <c r="B23" s="394"/>
      <c r="C23" s="52"/>
      <c r="D23" s="53"/>
      <c r="E23" s="54"/>
      <c r="F23" s="55"/>
      <c r="G23" s="56"/>
      <c r="H23" s="57"/>
      <c r="I23" s="19"/>
      <c r="N23" s="146"/>
    </row>
    <row r="24" spans="1:23" ht="24" customHeight="1">
      <c r="A24" s="3"/>
      <c r="B24" s="394"/>
      <c r="C24" s="379" t="s">
        <v>124</v>
      </c>
      <c r="D24" s="380"/>
      <c r="E24" s="381"/>
      <c r="F24" s="89" t="s">
        <v>1</v>
      </c>
      <c r="G24" s="89" t="s">
        <v>2</v>
      </c>
      <c r="H24" s="90" t="s">
        <v>3</v>
      </c>
      <c r="I24" s="7"/>
      <c r="J24" s="453" t="s">
        <v>143</v>
      </c>
      <c r="K24" s="454"/>
      <c r="L24" s="454"/>
      <c r="M24" s="455"/>
      <c r="N24" s="147" t="s">
        <v>96</v>
      </c>
      <c r="O24" s="451"/>
      <c r="P24" s="452"/>
      <c r="Q24" s="58"/>
      <c r="R24" s="66"/>
      <c r="S24" s="66"/>
    </row>
    <row r="25" spans="1:23" ht="24" customHeight="1">
      <c r="A25" s="3"/>
      <c r="B25" s="20"/>
      <c r="C25" s="339" t="s">
        <v>129</v>
      </c>
      <c r="D25" s="340"/>
      <c r="E25" s="341"/>
      <c r="F25" s="71">
        <f>F13-F26-F28-F29</f>
        <v>17805</v>
      </c>
      <c r="G25" s="70"/>
      <c r="H25" s="121">
        <v>4658</v>
      </c>
      <c r="I25" s="7"/>
      <c r="J25" s="387" t="s">
        <v>2</v>
      </c>
      <c r="K25" s="388"/>
      <c r="L25" s="388"/>
      <c r="M25" s="327"/>
      <c r="N25" s="145"/>
      <c r="O25" s="58"/>
      <c r="P25" s="58"/>
      <c r="Q25" s="58"/>
      <c r="R25" s="66"/>
      <c r="S25" s="66"/>
    </row>
    <row r="26" spans="1:23" ht="24" customHeight="1">
      <c r="A26" s="3"/>
      <c r="B26" s="20"/>
      <c r="C26" s="339" t="s">
        <v>125</v>
      </c>
      <c r="D26" s="340"/>
      <c r="E26" s="341"/>
      <c r="F26" s="71">
        <v>13410</v>
      </c>
      <c r="G26" s="99"/>
      <c r="H26" s="121">
        <f>4315+4567+1566</f>
        <v>10448</v>
      </c>
      <c r="I26" s="7"/>
      <c r="J26" s="404" t="s">
        <v>204</v>
      </c>
      <c r="K26" s="405"/>
      <c r="L26" s="405"/>
      <c r="M26" s="406"/>
      <c r="N26" s="150">
        <v>30250</v>
      </c>
      <c r="P26" s="179"/>
      <c r="Q26" s="58"/>
      <c r="R26" s="66"/>
      <c r="S26" s="66"/>
    </row>
    <row r="27" spans="1:23" ht="24" customHeight="1">
      <c r="A27" s="3"/>
      <c r="B27" s="178"/>
      <c r="C27" s="175"/>
      <c r="D27" s="176"/>
      <c r="E27" s="177"/>
      <c r="F27" s="71"/>
      <c r="G27" s="180"/>
      <c r="H27" s="121"/>
      <c r="I27" s="7"/>
      <c r="J27" s="404" t="s">
        <v>205</v>
      </c>
      <c r="K27" s="405"/>
      <c r="L27" s="405"/>
      <c r="M27" s="406"/>
      <c r="N27" s="150">
        <v>1065</v>
      </c>
      <c r="Q27" s="179"/>
      <c r="R27" s="66"/>
      <c r="S27" s="66"/>
    </row>
    <row r="28" spans="1:23" ht="24" customHeight="1">
      <c r="A28" s="3"/>
      <c r="B28" s="20"/>
      <c r="C28" s="339" t="s">
        <v>126</v>
      </c>
      <c r="D28" s="340"/>
      <c r="E28" s="341"/>
      <c r="F28" s="71">
        <v>4260</v>
      </c>
      <c r="G28" s="100"/>
      <c r="H28" s="69">
        <f>3137+2754+3608</f>
        <v>9499</v>
      </c>
      <c r="I28" s="7"/>
      <c r="J28" s="404" t="s">
        <v>206</v>
      </c>
      <c r="K28" s="405"/>
      <c r="L28" s="405"/>
      <c r="M28" s="406"/>
      <c r="N28" s="150">
        <v>5443</v>
      </c>
      <c r="P28" s="58"/>
      <c r="Q28" s="58"/>
      <c r="R28" s="66"/>
      <c r="S28" s="66"/>
    </row>
    <row r="29" spans="1:23" ht="37.5" customHeight="1">
      <c r="A29" s="3"/>
      <c r="B29" s="20"/>
      <c r="C29" s="339" t="s">
        <v>127</v>
      </c>
      <c r="D29" s="340"/>
      <c r="E29" s="341"/>
      <c r="F29" s="71">
        <v>0</v>
      </c>
      <c r="G29" s="101"/>
      <c r="H29" s="122">
        <v>0</v>
      </c>
      <c r="I29" s="7"/>
      <c r="J29" s="404"/>
      <c r="K29" s="405"/>
      <c r="L29" s="405"/>
      <c r="M29" s="406"/>
      <c r="N29" s="150"/>
      <c r="P29" s="58"/>
      <c r="Q29" s="58"/>
      <c r="R29" s="66"/>
      <c r="S29" s="66"/>
    </row>
    <row r="30" spans="1:23" ht="23.25" customHeight="1">
      <c r="A30" s="3"/>
      <c r="B30" s="20"/>
      <c r="C30" s="339" t="s">
        <v>128</v>
      </c>
      <c r="D30" s="340"/>
      <c r="E30" s="341"/>
      <c r="F30" s="71"/>
      <c r="G30" s="102"/>
      <c r="H30" s="123">
        <v>0</v>
      </c>
      <c r="I30" s="7"/>
      <c r="J30" s="373" t="s">
        <v>94</v>
      </c>
      <c r="K30" s="374"/>
      <c r="L30" s="374"/>
      <c r="M30" s="375"/>
      <c r="N30" s="151"/>
      <c r="P30" s="58"/>
      <c r="Q30" s="58"/>
      <c r="R30" s="66"/>
      <c r="S30" s="66"/>
    </row>
    <row r="31" spans="1:23" ht="23.25" customHeight="1" thickBot="1">
      <c r="A31" s="3"/>
      <c r="B31" s="20"/>
      <c r="C31" s="339" t="s">
        <v>130</v>
      </c>
      <c r="D31" s="340"/>
      <c r="E31" s="341"/>
      <c r="F31" s="71"/>
      <c r="G31" s="99"/>
      <c r="H31" s="121">
        <v>0</v>
      </c>
      <c r="I31" s="7"/>
      <c r="J31" s="424" t="s">
        <v>207</v>
      </c>
      <c r="K31" s="425"/>
      <c r="L31" s="425"/>
      <c r="M31" s="426"/>
      <c r="N31" s="150">
        <v>2577</v>
      </c>
      <c r="P31" s="58"/>
      <c r="Q31" s="58"/>
      <c r="R31" s="66"/>
      <c r="S31" s="66"/>
    </row>
    <row r="32" spans="1:23" ht="19.5" customHeight="1" thickBot="1">
      <c r="A32" s="3"/>
      <c r="B32" s="20"/>
      <c r="C32" s="421" t="s">
        <v>131</v>
      </c>
      <c r="D32" s="422"/>
      <c r="E32" s="423"/>
      <c r="F32" s="71">
        <f>SUM(F25:F31)</f>
        <v>35475</v>
      </c>
      <c r="G32" s="70">
        <f>G13</f>
        <v>19748</v>
      </c>
      <c r="H32" s="123">
        <f>SUM(H25:H31)-H31</f>
        <v>24605</v>
      </c>
      <c r="I32" s="7"/>
      <c r="J32" s="424" t="s">
        <v>208</v>
      </c>
      <c r="K32" s="425"/>
      <c r="L32" s="425"/>
      <c r="M32" s="426"/>
      <c r="N32" s="150">
        <v>1514</v>
      </c>
      <c r="P32" s="61"/>
      <c r="Q32" s="61"/>
      <c r="R32" s="66"/>
      <c r="S32" s="66"/>
    </row>
    <row r="33" spans="1:19" ht="8.25" customHeight="1" thickBot="1">
      <c r="A33" s="3"/>
      <c r="B33" s="20"/>
      <c r="I33" s="7"/>
      <c r="J33" s="424"/>
      <c r="K33" s="425"/>
      <c r="L33" s="425"/>
      <c r="M33" s="426"/>
      <c r="N33" s="152"/>
      <c r="O33" s="61"/>
      <c r="P33" s="61"/>
      <c r="Q33" s="61"/>
      <c r="R33" s="61"/>
      <c r="S33" s="61"/>
    </row>
    <row r="34" spans="1:19" ht="19.5" customHeight="1" thickBot="1">
      <c r="A34" s="3"/>
      <c r="B34" s="20"/>
      <c r="C34" s="418" t="s">
        <v>103</v>
      </c>
      <c r="D34" s="419"/>
      <c r="E34" s="420"/>
      <c r="F34" s="77" t="str">
        <f>K1</f>
        <v>27.09.2026</v>
      </c>
      <c r="G34" s="78" t="s">
        <v>107</v>
      </c>
      <c r="H34" s="79" t="s">
        <v>307</v>
      </c>
      <c r="I34" s="7"/>
      <c r="J34" s="427" t="s">
        <v>140</v>
      </c>
      <c r="K34" s="428"/>
      <c r="L34" s="428"/>
      <c r="M34" s="429"/>
      <c r="N34" s="163">
        <f>SUM(N26:N33)</f>
        <v>40849</v>
      </c>
      <c r="O34" s="63"/>
      <c r="R34" s="61"/>
      <c r="S34" s="61"/>
    </row>
    <row r="35" spans="1:19" ht="27" customHeight="1" thickBot="1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7"/>
      <c r="Q35" s="62"/>
      <c r="R35" s="61"/>
      <c r="S35" s="61"/>
    </row>
    <row r="36" spans="1:19" ht="42" customHeight="1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397" t="s">
        <v>156</v>
      </c>
      <c r="K36" s="398"/>
      <c r="L36" s="399"/>
      <c r="M36" s="112" t="s">
        <v>115</v>
      </c>
      <c r="N36" s="113" t="s">
        <v>97</v>
      </c>
      <c r="O36" s="114" t="s">
        <v>157</v>
      </c>
      <c r="P36" s="165" t="s">
        <v>138</v>
      </c>
      <c r="Q36" s="456" t="s">
        <v>149</v>
      </c>
      <c r="R36" s="457"/>
      <c r="S36" s="61"/>
    </row>
    <row r="37" spans="1:19" ht="36.75" customHeight="1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400" t="s">
        <v>198</v>
      </c>
      <c r="K37" s="401"/>
      <c r="L37" s="402"/>
      <c r="M37" s="149">
        <v>79548</v>
      </c>
      <c r="N37" s="149">
        <v>24048</v>
      </c>
      <c r="O37" s="263" t="s">
        <v>218</v>
      </c>
      <c r="P37" s="255" t="s">
        <v>236</v>
      </c>
      <c r="Q37" s="437" t="s">
        <v>223</v>
      </c>
      <c r="R37" s="437"/>
      <c r="S37" s="61"/>
    </row>
    <row r="38" spans="1:19" ht="30" customHeight="1">
      <c r="A38" s="3"/>
      <c r="B38" s="20"/>
      <c r="C38" s="125" t="s">
        <v>105</v>
      </c>
      <c r="D38" s="129">
        <v>2</v>
      </c>
      <c r="E38" s="129"/>
      <c r="F38" s="129">
        <f t="shared" ref="F38:F50" si="2">D38+E38</f>
        <v>2</v>
      </c>
      <c r="G38" s="134">
        <v>2</v>
      </c>
      <c r="H38" s="134"/>
      <c r="I38" s="7"/>
      <c r="J38" s="400" t="s">
        <v>214</v>
      </c>
      <c r="K38" s="401"/>
      <c r="L38" s="402"/>
      <c r="M38" s="149">
        <v>75292</v>
      </c>
      <c r="N38" s="149">
        <v>75292</v>
      </c>
      <c r="O38" s="263" t="s">
        <v>261</v>
      </c>
      <c r="P38" s="255" t="s">
        <v>262</v>
      </c>
      <c r="Q38" s="437" t="s">
        <v>263</v>
      </c>
      <c r="R38" s="437"/>
      <c r="S38" s="61"/>
    </row>
    <row r="39" spans="1:19" ht="22.5" customHeight="1">
      <c r="A39" s="3"/>
      <c r="B39" s="20"/>
      <c r="C39" s="125" t="s">
        <v>109</v>
      </c>
      <c r="D39" s="129">
        <v>2</v>
      </c>
      <c r="E39" s="129"/>
      <c r="F39" s="129">
        <f t="shared" si="2"/>
        <v>2</v>
      </c>
      <c r="G39" s="134">
        <v>2</v>
      </c>
      <c r="H39" s="134"/>
      <c r="I39" s="7"/>
      <c r="J39" s="400" t="s">
        <v>264</v>
      </c>
      <c r="K39" s="401"/>
      <c r="L39" s="402"/>
      <c r="M39" s="149">
        <v>43000</v>
      </c>
      <c r="N39" s="149"/>
      <c r="O39" s="263" t="s">
        <v>199</v>
      </c>
      <c r="P39" s="255" t="s">
        <v>265</v>
      </c>
      <c r="Q39" s="437" t="s">
        <v>240</v>
      </c>
      <c r="R39" s="437"/>
      <c r="S39" s="61"/>
    </row>
    <row r="40" spans="1:19" ht="22.5" customHeight="1">
      <c r="A40" s="3"/>
      <c r="B40" s="297"/>
      <c r="C40" s="125"/>
      <c r="D40" s="129"/>
      <c r="E40" s="129"/>
      <c r="F40" s="129"/>
      <c r="G40" s="134"/>
      <c r="H40" s="134"/>
      <c r="I40" s="7"/>
      <c r="J40" s="400"/>
      <c r="K40" s="401"/>
      <c r="L40" s="402"/>
      <c r="M40" s="149"/>
      <c r="N40" s="149"/>
      <c r="O40" s="263"/>
      <c r="P40" s="255"/>
      <c r="Q40" s="460"/>
      <c r="R40" s="461"/>
      <c r="S40" s="61"/>
    </row>
    <row r="41" spans="1:19" ht="22.5" customHeight="1">
      <c r="A41" s="3"/>
      <c r="B41" s="278"/>
      <c r="C41" s="125"/>
      <c r="D41" s="129"/>
      <c r="E41" s="129"/>
      <c r="F41" s="129"/>
      <c r="G41" s="134"/>
      <c r="H41" s="134"/>
      <c r="I41" s="7"/>
      <c r="J41" s="438" t="s">
        <v>237</v>
      </c>
      <c r="K41" s="438"/>
      <c r="L41" s="438"/>
      <c r="M41" s="149">
        <v>78253</v>
      </c>
      <c r="N41" s="149">
        <v>78253</v>
      </c>
      <c r="O41" s="263" t="s">
        <v>238</v>
      </c>
      <c r="P41" s="255" t="s">
        <v>239</v>
      </c>
      <c r="Q41" s="437" t="s">
        <v>240</v>
      </c>
      <c r="R41" s="437"/>
      <c r="S41" s="61"/>
    </row>
    <row r="42" spans="1:19" ht="24.75" customHeight="1">
      <c r="A42" s="3"/>
      <c r="B42" s="20"/>
      <c r="C42" s="125" t="s">
        <v>110</v>
      </c>
      <c r="D42" s="129">
        <v>0</v>
      </c>
      <c r="E42" s="129">
        <v>2</v>
      </c>
      <c r="F42" s="129">
        <f t="shared" si="2"/>
        <v>2</v>
      </c>
      <c r="G42" s="134"/>
      <c r="H42" s="134">
        <v>0</v>
      </c>
      <c r="I42" s="7"/>
      <c r="J42" s="439" t="s">
        <v>98</v>
      </c>
      <c r="K42" s="440"/>
      <c r="L42" s="440"/>
      <c r="M42" s="440"/>
      <c r="N42" s="166"/>
      <c r="O42" s="167">
        <f>SUM(N37:N41)</f>
        <v>177593</v>
      </c>
      <c r="P42" s="253"/>
      <c r="Q42" s="458"/>
      <c r="R42" s="458"/>
      <c r="S42" s="61"/>
    </row>
    <row r="43" spans="1:19" ht="26.25" customHeight="1" thickBot="1">
      <c r="A43" s="3"/>
      <c r="B43" s="20"/>
      <c r="C43" s="125" t="s">
        <v>111</v>
      </c>
      <c r="D43" s="129">
        <v>1</v>
      </c>
      <c r="E43" s="129"/>
      <c r="F43" s="129"/>
      <c r="G43" s="303">
        <v>1</v>
      </c>
      <c r="H43" s="136"/>
      <c r="I43" s="7"/>
      <c r="J43" s="443" t="s">
        <v>99</v>
      </c>
      <c r="K43" s="444"/>
      <c r="L43" s="444"/>
      <c r="M43" s="444"/>
      <c r="N43" s="445"/>
      <c r="O43" s="148">
        <f>N22+N34+O42</f>
        <v>413713</v>
      </c>
      <c r="P43" s="254"/>
      <c r="Q43" s="459"/>
      <c r="R43" s="459"/>
      <c r="S43" s="61"/>
    </row>
    <row r="44" spans="1:19" ht="19.5" customHeight="1" thickBot="1">
      <c r="A44" s="3"/>
      <c r="B44" s="20"/>
      <c r="C44" s="125" t="s">
        <v>112</v>
      </c>
      <c r="D44" s="129">
        <v>0</v>
      </c>
      <c r="E44" s="129">
        <v>0</v>
      </c>
      <c r="F44" s="129"/>
      <c r="G44" s="134">
        <v>0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>
      <c r="A45" s="3"/>
      <c r="C45" s="125" t="s">
        <v>113</v>
      </c>
      <c r="D45" s="129">
        <v>0</v>
      </c>
      <c r="E45" s="129">
        <v>4</v>
      </c>
      <c r="F45" s="129"/>
      <c r="G45" s="135">
        <v>0</v>
      </c>
      <c r="H45" s="134">
        <v>4</v>
      </c>
      <c r="J45" s="441" t="s">
        <v>102</v>
      </c>
      <c r="K45" s="442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>
      <c r="A46" s="3"/>
      <c r="C46" s="126" t="s">
        <v>114</v>
      </c>
      <c r="D46" s="130"/>
      <c r="E46" s="130">
        <v>1</v>
      </c>
      <c r="F46" s="130"/>
      <c r="G46" s="137"/>
      <c r="H46" s="134">
        <v>2</v>
      </c>
      <c r="J46" s="415" t="s">
        <v>15</v>
      </c>
      <c r="K46" s="416"/>
      <c r="L46" s="156">
        <v>44.39</v>
      </c>
      <c r="M46" s="156">
        <v>26.532</v>
      </c>
      <c r="N46" s="156">
        <v>40.033999999999999</v>
      </c>
      <c r="O46" s="156">
        <f>SUM(L46:N46)</f>
        <v>110.95599999999999</v>
      </c>
      <c r="P46" s="156">
        <v>2.2320000000000002</v>
      </c>
      <c r="Q46" s="156">
        <v>7.3410000000000002</v>
      </c>
      <c r="R46" s="157">
        <f>O46+P46+Q46</f>
        <v>120.52899999999998</v>
      </c>
      <c r="S46" s="115"/>
    </row>
    <row r="47" spans="1:19" ht="23.25" customHeight="1" thickBot="1">
      <c r="A47" s="3"/>
      <c r="C47" s="127" t="s">
        <v>136</v>
      </c>
      <c r="D47" s="131">
        <f>SUM(D36:D46)</f>
        <v>5</v>
      </c>
      <c r="E47" s="131">
        <f>SUM(E36:E46)</f>
        <v>7</v>
      </c>
      <c r="F47" s="131">
        <f t="shared" si="2"/>
        <v>12</v>
      </c>
      <c r="G47" s="138">
        <f>SUM(G36:G46)</f>
        <v>5</v>
      </c>
      <c r="H47" s="139">
        <f>SUM(H36:H46)</f>
        <v>6</v>
      </c>
      <c r="J47" s="415" t="s">
        <v>16</v>
      </c>
      <c r="K47" s="416"/>
      <c r="L47" s="156">
        <v>40.747999999999998</v>
      </c>
      <c r="M47" s="156">
        <v>23.486999999999998</v>
      </c>
      <c r="N47" s="156">
        <v>37.642000000000003</v>
      </c>
      <c r="O47" s="156">
        <f t="shared" ref="O47:O49" si="3">SUM(L47:N47)</f>
        <v>101.87700000000001</v>
      </c>
      <c r="P47" s="156">
        <v>2.2240000000000002</v>
      </c>
      <c r="Q47" s="156">
        <v>7.298</v>
      </c>
      <c r="R47" s="157">
        <f>O47+P47+Q47</f>
        <v>111.39900000000002</v>
      </c>
      <c r="S47" s="115"/>
    </row>
    <row r="48" spans="1:19" ht="20.25" customHeight="1">
      <c r="A48" s="3"/>
      <c r="C48" s="83" t="s">
        <v>132</v>
      </c>
      <c r="D48" s="80"/>
      <c r="E48" s="80"/>
      <c r="F48" s="80"/>
      <c r="G48" s="84"/>
      <c r="H48" s="85"/>
      <c r="J48" s="415" t="s">
        <v>17</v>
      </c>
      <c r="K48" s="416"/>
      <c r="L48" s="156">
        <f>(L46-L47)/L46*100</f>
        <v>8.2045505744537124</v>
      </c>
      <c r="M48" s="156">
        <f>(M46-M47)/M46*100</f>
        <v>11.476707372229766</v>
      </c>
      <c r="N48" s="156">
        <f>(N46-N47)/N46*100</f>
        <v>5.9749213168806419</v>
      </c>
      <c r="O48" s="156">
        <f>(O46-O47)/O46*100</f>
        <v>8.1825228018313396</v>
      </c>
      <c r="P48" s="156">
        <f>(P46-P47)/P46*100</f>
        <v>0.35842293906810069</v>
      </c>
      <c r="Q48" s="156"/>
      <c r="R48" s="157"/>
      <c r="S48" s="108"/>
    </row>
    <row r="49" spans="1:19" ht="21" customHeight="1" thickBot="1">
      <c r="A49" s="3"/>
      <c r="C49" s="81" t="s">
        <v>133</v>
      </c>
      <c r="D49" s="50">
        <v>1</v>
      </c>
      <c r="E49" s="50">
        <v>2</v>
      </c>
      <c r="F49" s="50">
        <f t="shared" si="2"/>
        <v>3</v>
      </c>
      <c r="G49" s="50">
        <v>2</v>
      </c>
      <c r="H49" s="51">
        <v>3</v>
      </c>
      <c r="I49" s="64"/>
      <c r="J49" s="431" t="s">
        <v>18</v>
      </c>
      <c r="K49" s="432"/>
      <c r="L49" s="156">
        <f>F13/L46/1000</f>
        <v>0.79916647893669746</v>
      </c>
      <c r="M49" s="156">
        <f>G13/M46/1000</f>
        <v>0.74430875923413242</v>
      </c>
      <c r="N49" s="156">
        <f>H13/N46/1000</f>
        <v>0.61460258780036969</v>
      </c>
      <c r="O49" s="156">
        <f t="shared" si="3"/>
        <v>2.1580778259711995</v>
      </c>
      <c r="P49" s="156">
        <f>(L14+M14+N14)/(L46+M46+N46)/1000</f>
        <v>0</v>
      </c>
      <c r="Q49" s="156"/>
      <c r="R49" s="157"/>
      <c r="S49" s="108"/>
    </row>
    <row r="50" spans="1:19" ht="23.45" customHeight="1" thickBot="1">
      <c r="A50" s="3"/>
      <c r="C50" s="82" t="s">
        <v>108</v>
      </c>
      <c r="D50" s="87">
        <v>1</v>
      </c>
      <c r="E50" s="87">
        <v>1</v>
      </c>
      <c r="F50" s="87">
        <f t="shared" si="2"/>
        <v>2</v>
      </c>
      <c r="G50" s="87">
        <v>1</v>
      </c>
      <c r="H50" s="88">
        <v>1</v>
      </c>
      <c r="J50" s="140"/>
      <c r="K50" s="141"/>
      <c r="L50" s="415" t="s">
        <v>145</v>
      </c>
      <c r="M50" s="416"/>
      <c r="N50" s="417"/>
      <c r="O50" s="158">
        <v>242.274</v>
      </c>
      <c r="P50" s="142"/>
      <c r="Q50" s="435"/>
      <c r="R50" s="436"/>
      <c r="S50" s="109"/>
    </row>
    <row r="51" spans="1:19" ht="6" customHeight="1" thickBot="1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>
      <c r="A52" s="3"/>
      <c r="B52" s="412" t="s">
        <v>134</v>
      </c>
      <c r="C52" s="413"/>
      <c r="D52" s="413"/>
      <c r="E52" s="413"/>
      <c r="F52" s="413"/>
      <c r="G52" s="414"/>
      <c r="H52" s="68"/>
      <c r="J52" s="412" t="s">
        <v>135</v>
      </c>
      <c r="K52" s="413"/>
      <c r="L52" s="413"/>
      <c r="M52" s="413"/>
      <c r="N52" s="413"/>
      <c r="O52" s="413"/>
      <c r="P52" s="414"/>
      <c r="Q52" s="60"/>
      <c r="R52" s="60"/>
      <c r="S52" s="60"/>
    </row>
    <row r="53" spans="1:19" ht="21">
      <c r="A53" s="3"/>
      <c r="B53" s="120" t="s">
        <v>23</v>
      </c>
      <c r="C53" s="407" t="s">
        <v>21</v>
      </c>
      <c r="D53" s="408"/>
      <c r="E53" s="168" t="s">
        <v>50</v>
      </c>
      <c r="F53" s="326" t="s">
        <v>22</v>
      </c>
      <c r="G53" s="328"/>
      <c r="H53" s="60"/>
      <c r="J53" s="160" t="s">
        <v>23</v>
      </c>
      <c r="K53" s="433" t="s">
        <v>21</v>
      </c>
      <c r="L53" s="433"/>
      <c r="M53" s="433"/>
      <c r="N53" s="159" t="s">
        <v>142</v>
      </c>
      <c r="O53" s="409" t="s">
        <v>22</v>
      </c>
      <c r="P53" s="410"/>
      <c r="Q53" s="60"/>
      <c r="R53" s="60"/>
      <c r="S53" s="60"/>
    </row>
    <row r="54" spans="1:19" ht="21">
      <c r="A54" s="3"/>
      <c r="B54" s="181">
        <v>1</v>
      </c>
      <c r="C54" s="326" t="s">
        <v>257</v>
      </c>
      <c r="D54" s="327"/>
      <c r="E54" s="256" t="s">
        <v>258</v>
      </c>
      <c r="F54" s="326" t="s">
        <v>233</v>
      </c>
      <c r="G54" s="328"/>
      <c r="H54" s="44"/>
      <c r="J54" s="310">
        <v>1</v>
      </c>
      <c r="K54" s="411" t="s">
        <v>249</v>
      </c>
      <c r="L54" s="411"/>
      <c r="M54" s="411"/>
      <c r="N54" s="256" t="s">
        <v>247</v>
      </c>
      <c r="O54" s="411" t="s">
        <v>308</v>
      </c>
      <c r="P54" s="411"/>
      <c r="Q54" s="60"/>
      <c r="R54" s="60"/>
      <c r="S54" s="60"/>
    </row>
    <row r="55" spans="1:19" ht="21">
      <c r="A55" s="3"/>
      <c r="B55" s="319">
        <v>2</v>
      </c>
      <c r="C55" s="326" t="s">
        <v>257</v>
      </c>
      <c r="D55" s="327"/>
      <c r="E55" s="256" t="s">
        <v>256</v>
      </c>
      <c r="F55" s="326" t="s">
        <v>233</v>
      </c>
      <c r="G55" s="328"/>
      <c r="H55" s="44"/>
      <c r="J55" s="318">
        <v>2</v>
      </c>
      <c r="K55" s="411" t="s">
        <v>243</v>
      </c>
      <c r="L55" s="411"/>
      <c r="M55" s="411"/>
      <c r="N55" s="256" t="s">
        <v>248</v>
      </c>
      <c r="O55" s="411" t="s">
        <v>211</v>
      </c>
      <c r="P55" s="411"/>
      <c r="Q55" s="60"/>
      <c r="R55" s="60"/>
      <c r="S55" s="60"/>
    </row>
    <row r="56" spans="1:19" ht="21">
      <c r="A56" s="3"/>
      <c r="B56" s="321">
        <v>3</v>
      </c>
      <c r="C56" s="326" t="s">
        <v>231</v>
      </c>
      <c r="D56" s="327"/>
      <c r="E56" s="256" t="s">
        <v>255</v>
      </c>
      <c r="F56" s="326" t="s">
        <v>259</v>
      </c>
      <c r="G56" s="328"/>
      <c r="H56" s="44"/>
      <c r="J56" s="314"/>
      <c r="K56" s="314"/>
      <c r="L56" s="314"/>
      <c r="M56" s="314"/>
      <c r="N56" s="273"/>
      <c r="O56" s="314"/>
      <c r="P56" s="314"/>
      <c r="Q56" s="60"/>
      <c r="R56" s="60"/>
      <c r="S56" s="60"/>
    </row>
    <row r="57" spans="1:19" ht="21">
      <c r="A57" s="3"/>
      <c r="B57" s="321">
        <v>4</v>
      </c>
      <c r="C57" s="326" t="s">
        <v>252</v>
      </c>
      <c r="D57" s="327"/>
      <c r="E57" s="256" t="s">
        <v>253</v>
      </c>
      <c r="F57" s="326" t="s">
        <v>260</v>
      </c>
      <c r="G57" s="328"/>
      <c r="H57" s="44"/>
      <c r="J57" s="314"/>
      <c r="K57" s="314"/>
      <c r="L57" s="314"/>
      <c r="M57" s="314"/>
      <c r="N57" s="273"/>
      <c r="O57" s="314"/>
      <c r="P57" s="314"/>
      <c r="Q57" s="60"/>
      <c r="R57" s="60"/>
      <c r="S57" s="60"/>
    </row>
    <row r="58" spans="1:19" ht="21">
      <c r="A58" s="3"/>
      <c r="B58" s="321">
        <v>5</v>
      </c>
      <c r="C58" s="326" t="s">
        <v>252</v>
      </c>
      <c r="D58" s="327"/>
      <c r="E58" s="256" t="s">
        <v>266</v>
      </c>
      <c r="F58" s="326" t="s">
        <v>254</v>
      </c>
      <c r="G58" s="328"/>
      <c r="H58" s="44"/>
      <c r="J58" s="314"/>
      <c r="K58" s="314"/>
      <c r="L58" s="314"/>
      <c r="M58" s="314"/>
      <c r="N58" s="273"/>
      <c r="O58" s="314"/>
      <c r="P58" s="314"/>
      <c r="Q58" s="60"/>
      <c r="R58" s="60"/>
      <c r="S58" s="60"/>
    </row>
    <row r="59" spans="1:19" ht="21">
      <c r="A59" s="3"/>
      <c r="B59" s="316"/>
      <c r="C59" s="314"/>
      <c r="D59" s="314"/>
      <c r="E59" s="273"/>
      <c r="F59" s="314"/>
      <c r="G59" s="314"/>
      <c r="H59" s="44"/>
      <c r="J59" s="314"/>
      <c r="K59" s="314"/>
      <c r="L59" s="314"/>
      <c r="M59" s="314"/>
      <c r="N59" s="273"/>
      <c r="O59" s="314"/>
      <c r="P59" s="314"/>
      <c r="Q59" s="60"/>
      <c r="R59" s="60"/>
      <c r="S59" s="60"/>
    </row>
    <row r="60" spans="1:19" ht="21.75" customHeight="1">
      <c r="A60" s="3"/>
      <c r="B60" s="403" t="s">
        <v>278</v>
      </c>
      <c r="C60" s="403"/>
      <c r="D60" s="403"/>
      <c r="E60" s="403"/>
      <c r="F60" s="403"/>
      <c r="G60" s="403"/>
      <c r="H60" s="403"/>
      <c r="I60" s="403"/>
      <c r="J60" s="403"/>
      <c r="K60" s="403"/>
      <c r="L60" s="403"/>
      <c r="M60" s="403"/>
      <c r="N60" s="403"/>
      <c r="O60" s="403"/>
      <c r="P60" s="403"/>
    </row>
    <row r="61" spans="1:19" ht="6.75" customHeight="1">
      <c r="A61" s="3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</row>
    <row r="62" spans="1:19" ht="15.6" customHeight="1">
      <c r="B62" s="3"/>
      <c r="C62" s="447" t="s">
        <v>94</v>
      </c>
      <c r="D62" s="447"/>
      <c r="E62" s="447"/>
      <c r="F62" s="447"/>
      <c r="G62" s="40"/>
      <c r="H62" s="40"/>
      <c r="I62" s="3"/>
      <c r="J62" s="447" t="s">
        <v>89</v>
      </c>
      <c r="K62" s="447"/>
      <c r="L62" s="447"/>
      <c r="M62" s="447"/>
      <c r="N62" s="447"/>
      <c r="O62" s="42"/>
    </row>
    <row r="63" spans="1:19" ht="28.5">
      <c r="B63" s="110" t="s">
        <v>23</v>
      </c>
      <c r="C63" s="396" t="s">
        <v>78</v>
      </c>
      <c r="D63" s="396"/>
      <c r="E63" s="396"/>
      <c r="F63" s="396"/>
      <c r="G63" s="40"/>
      <c r="H63" s="40"/>
      <c r="I63" s="110" t="s">
        <v>23</v>
      </c>
      <c r="J63" s="396" t="s">
        <v>78</v>
      </c>
      <c r="K63" s="396"/>
      <c r="L63" s="396"/>
      <c r="M63" s="396"/>
      <c r="N63" s="396"/>
      <c r="O63" s="42"/>
    </row>
    <row r="64" spans="1:19" ht="28.5">
      <c r="B64" s="110"/>
      <c r="C64" s="302"/>
      <c r="D64" s="302"/>
      <c r="E64" s="302"/>
      <c r="F64" s="302"/>
      <c r="G64" s="40"/>
      <c r="H64" s="40"/>
      <c r="I64" s="110"/>
      <c r="J64" s="302"/>
      <c r="K64" s="302"/>
      <c r="L64" s="302"/>
      <c r="M64" s="302"/>
      <c r="N64" s="302"/>
      <c r="O64" s="42"/>
    </row>
    <row r="65" spans="2:19" ht="16.149999999999999" customHeight="1">
      <c r="B65" s="111">
        <v>1</v>
      </c>
      <c r="C65" s="250" t="s">
        <v>283</v>
      </c>
      <c r="D65" s="250"/>
      <c r="E65" s="250"/>
      <c r="F65" s="250"/>
      <c r="G65" s="282"/>
      <c r="H65" s="40"/>
      <c r="I65" s="111">
        <v>1</v>
      </c>
      <c r="J65" s="322" t="s">
        <v>267</v>
      </c>
      <c r="K65" s="280"/>
      <c r="L65" s="280"/>
      <c r="M65" s="280"/>
      <c r="N65" s="280"/>
      <c r="O65" s="42"/>
      <c r="P65" s="39"/>
      <c r="Q65" s="39"/>
      <c r="R65" s="39"/>
      <c r="S65" s="39"/>
    </row>
    <row r="66" spans="2:19" ht="16.149999999999999" customHeight="1">
      <c r="B66" s="111">
        <v>2</v>
      </c>
      <c r="C66" s="250" t="s">
        <v>284</v>
      </c>
      <c r="D66" s="250"/>
      <c r="E66" s="250"/>
      <c r="F66" s="250"/>
      <c r="G66" s="40"/>
      <c r="H66" s="43"/>
      <c r="I66" s="111">
        <v>2</v>
      </c>
      <c r="J66" s="322" t="s">
        <v>268</v>
      </c>
      <c r="K66" s="280"/>
      <c r="L66" s="280"/>
      <c r="M66" s="280"/>
      <c r="N66" s="280"/>
      <c r="O66" s="42"/>
      <c r="P66" s="39"/>
      <c r="Q66" s="39"/>
      <c r="R66" s="39"/>
      <c r="S66" s="39"/>
    </row>
    <row r="67" spans="2:19" ht="16.149999999999999" customHeight="1">
      <c r="B67" s="111">
        <v>3</v>
      </c>
      <c r="C67" s="250" t="s">
        <v>285</v>
      </c>
      <c r="D67" s="250"/>
      <c r="E67" s="250"/>
      <c r="F67" s="250"/>
      <c r="G67" s="282"/>
      <c r="H67" s="40"/>
      <c r="I67" s="111">
        <v>3</v>
      </c>
      <c r="J67" s="322" t="s">
        <v>270</v>
      </c>
      <c r="K67" s="270"/>
      <c r="L67" s="280"/>
      <c r="M67" s="280"/>
      <c r="N67" s="280"/>
      <c r="O67" s="42"/>
    </row>
    <row r="68" spans="2:19" ht="16.149999999999999" customHeight="1">
      <c r="B68" s="111">
        <v>4</v>
      </c>
      <c r="C68" s="250" t="s">
        <v>286</v>
      </c>
      <c r="D68" s="250"/>
      <c r="E68" s="250"/>
      <c r="F68" s="250"/>
      <c r="G68" s="40"/>
      <c r="H68" s="40"/>
      <c r="I68" s="111">
        <v>4</v>
      </c>
      <c r="J68" s="322" t="s">
        <v>269</v>
      </c>
      <c r="K68" s="280"/>
      <c r="L68" s="280"/>
      <c r="M68" s="280"/>
      <c r="N68" s="280"/>
      <c r="O68" s="42"/>
    </row>
    <row r="69" spans="2:19" ht="16.149999999999999" customHeight="1">
      <c r="B69" s="111">
        <v>5</v>
      </c>
      <c r="C69" s="250" t="s">
        <v>287</v>
      </c>
      <c r="D69" s="250"/>
      <c r="E69" s="250"/>
      <c r="F69" s="250"/>
      <c r="G69" s="286"/>
      <c r="H69" s="40"/>
      <c r="I69" s="111">
        <v>5</v>
      </c>
      <c r="J69" s="322" t="s">
        <v>271</v>
      </c>
      <c r="K69" s="280"/>
      <c r="L69" s="280"/>
      <c r="M69" s="280"/>
      <c r="N69" s="280"/>
      <c r="O69" s="42"/>
    </row>
    <row r="70" spans="2:19" ht="16.149999999999999" customHeight="1">
      <c r="B70" s="111">
        <v>6</v>
      </c>
      <c r="C70" s="250" t="s">
        <v>288</v>
      </c>
      <c r="D70" s="257"/>
      <c r="E70" s="257"/>
      <c r="F70" s="250"/>
      <c r="G70" s="286"/>
      <c r="H70" s="40"/>
      <c r="I70" s="111">
        <v>6</v>
      </c>
      <c r="J70" s="322" t="s">
        <v>272</v>
      </c>
      <c r="K70" s="280"/>
      <c r="L70" s="280"/>
      <c r="M70" s="280"/>
      <c r="N70" s="280"/>
      <c r="O70" s="42"/>
    </row>
    <row r="71" spans="2:19" ht="16.149999999999999" customHeight="1">
      <c r="B71" s="111">
        <v>7</v>
      </c>
      <c r="C71" s="250" t="s">
        <v>289</v>
      </c>
      <c r="D71" s="250"/>
      <c r="E71" s="250"/>
      <c r="F71" s="250"/>
      <c r="G71" s="286"/>
      <c r="H71" s="40"/>
      <c r="I71" s="111">
        <v>7</v>
      </c>
      <c r="J71" s="322" t="s">
        <v>273</v>
      </c>
      <c r="K71" s="280"/>
      <c r="L71" s="280"/>
      <c r="M71" s="280"/>
      <c r="N71" s="280"/>
      <c r="O71" s="42"/>
    </row>
    <row r="72" spans="2:19" ht="16.149999999999999" customHeight="1">
      <c r="B72" s="111">
        <v>8</v>
      </c>
      <c r="C72" s="250" t="s">
        <v>290</v>
      </c>
      <c r="D72" s="282"/>
      <c r="E72" s="282"/>
      <c r="F72" s="257"/>
      <c r="G72" s="286"/>
      <c r="H72" s="275"/>
      <c r="I72" s="111">
        <v>8</v>
      </c>
      <c r="J72" s="322" t="s">
        <v>274</v>
      </c>
      <c r="K72" s="280"/>
      <c r="L72" s="280"/>
      <c r="M72" s="280"/>
      <c r="N72" s="280"/>
      <c r="O72" s="39"/>
    </row>
    <row r="73" spans="2:19" ht="16.149999999999999" customHeight="1">
      <c r="B73" s="111">
        <v>9</v>
      </c>
      <c r="C73" s="250" t="s">
        <v>291</v>
      </c>
      <c r="D73" s="250"/>
      <c r="E73" s="250"/>
      <c r="F73" s="250"/>
      <c r="G73" s="286"/>
      <c r="H73" s="275"/>
      <c r="I73" s="111">
        <v>9</v>
      </c>
      <c r="J73" s="322" t="s">
        <v>275</v>
      </c>
      <c r="K73" s="280"/>
      <c r="L73" s="280"/>
      <c r="M73" s="280"/>
      <c r="N73" s="280"/>
      <c r="O73" s="39"/>
    </row>
    <row r="74" spans="2:19" ht="16.149999999999999" customHeight="1">
      <c r="B74" s="111">
        <v>10</v>
      </c>
      <c r="C74" s="250" t="s">
        <v>292</v>
      </c>
      <c r="D74" s="250"/>
      <c r="E74" s="250"/>
      <c r="F74" s="282"/>
      <c r="G74" s="286"/>
      <c r="H74" s="275"/>
      <c r="I74" s="111">
        <v>10</v>
      </c>
      <c r="J74" s="322" t="s">
        <v>276</v>
      </c>
      <c r="K74" s="281"/>
      <c r="L74" s="281"/>
      <c r="M74" s="281"/>
      <c r="N74" s="281"/>
      <c r="O74" s="39"/>
    </row>
    <row r="75" spans="2:19" ht="16.149999999999999" customHeight="1">
      <c r="B75" s="111">
        <v>11</v>
      </c>
      <c r="C75" s="250" t="s">
        <v>294</v>
      </c>
      <c r="D75" s="250"/>
      <c r="E75" s="250"/>
      <c r="F75" s="250"/>
      <c r="G75" s="286"/>
      <c r="H75" s="275"/>
      <c r="I75" s="111">
        <v>11</v>
      </c>
      <c r="J75" s="322" t="s">
        <v>232</v>
      </c>
      <c r="K75" s="315"/>
      <c r="L75" s="315"/>
      <c r="M75" s="315"/>
      <c r="N75" s="315"/>
      <c r="O75" s="315"/>
    </row>
    <row r="76" spans="2:19" ht="16.149999999999999" customHeight="1">
      <c r="B76" s="111">
        <v>12</v>
      </c>
      <c r="C76" s="250" t="s">
        <v>293</v>
      </c>
      <c r="D76" s="250"/>
      <c r="E76" s="250"/>
      <c r="F76" s="250"/>
      <c r="G76" s="258"/>
      <c r="H76" s="275"/>
      <c r="I76" s="111">
        <v>12</v>
      </c>
      <c r="J76" s="322" t="s">
        <v>232</v>
      </c>
      <c r="K76" s="281"/>
      <c r="L76" s="281"/>
      <c r="M76" s="281"/>
      <c r="N76" s="281"/>
      <c r="O76" s="39"/>
    </row>
    <row r="77" spans="2:19" ht="16.149999999999999" customHeight="1">
      <c r="B77" s="111">
        <v>13</v>
      </c>
      <c r="C77" s="250" t="s">
        <v>295</v>
      </c>
      <c r="D77" s="250"/>
      <c r="E77" s="250"/>
      <c r="F77" s="250"/>
      <c r="G77" s="286"/>
      <c r="H77" s="275"/>
      <c r="I77" s="111">
        <v>13</v>
      </c>
      <c r="J77" s="322" t="s">
        <v>277</v>
      </c>
      <c r="K77" s="281"/>
      <c r="L77" s="281"/>
      <c r="M77" s="281"/>
      <c r="N77" s="281"/>
      <c r="O77" s="39"/>
    </row>
    <row r="78" spans="2:19" ht="16.149999999999999" customHeight="1">
      <c r="B78" s="111">
        <v>14</v>
      </c>
      <c r="C78" s="311" t="s">
        <v>296</v>
      </c>
      <c r="D78" s="251"/>
      <c r="E78" s="251"/>
      <c r="F78" s="250"/>
      <c r="G78" s="286"/>
      <c r="H78" s="275"/>
      <c r="I78" s="111">
        <v>14</v>
      </c>
      <c r="J78" s="322" t="s">
        <v>280</v>
      </c>
      <c r="K78" s="282"/>
      <c r="L78" s="282"/>
      <c r="M78" s="282"/>
      <c r="N78" s="282"/>
      <c r="O78" s="39"/>
    </row>
    <row r="79" spans="2:19" ht="16.149999999999999" customHeight="1">
      <c r="B79" s="111">
        <v>15</v>
      </c>
      <c r="C79" s="250" t="s">
        <v>297</v>
      </c>
      <c r="D79" s="285"/>
      <c r="E79" s="285"/>
      <c r="F79" s="285"/>
      <c r="G79" s="285"/>
      <c r="H79" s="275"/>
      <c r="I79" s="111">
        <v>15</v>
      </c>
      <c r="J79" s="320" t="s">
        <v>244</v>
      </c>
      <c r="K79" s="282"/>
      <c r="L79" s="282"/>
      <c r="M79" s="282"/>
      <c r="N79" s="282"/>
      <c r="O79" s="272"/>
    </row>
    <row r="80" spans="2:19" ht="16.149999999999999" customHeight="1">
      <c r="B80" s="111">
        <v>16</v>
      </c>
      <c r="C80" s="311" t="s">
        <v>298</v>
      </c>
      <c r="D80" s="251"/>
      <c r="E80" s="251"/>
      <c r="F80" s="251"/>
      <c r="G80" s="286"/>
      <c r="H80" s="275"/>
      <c r="I80" s="111">
        <v>16</v>
      </c>
      <c r="J80" s="322" t="s">
        <v>245</v>
      </c>
      <c r="K80" s="282"/>
      <c r="L80" s="282"/>
      <c r="M80" s="282"/>
      <c r="N80" s="282"/>
      <c r="O80" s="39"/>
    </row>
    <row r="81" spans="2:16" ht="16.149999999999999" customHeight="1">
      <c r="B81" s="111">
        <v>17</v>
      </c>
      <c r="C81" s="250" t="s">
        <v>300</v>
      </c>
      <c r="D81" s="251"/>
      <c r="E81" s="251"/>
      <c r="F81" s="251"/>
      <c r="G81" s="286"/>
      <c r="H81" s="275"/>
      <c r="I81" s="269">
        <v>17</v>
      </c>
      <c r="J81" s="322" t="s">
        <v>279</v>
      </c>
      <c r="K81" s="282"/>
      <c r="L81" s="282"/>
      <c r="M81" s="282"/>
      <c r="N81" s="282"/>
      <c r="O81" s="277"/>
    </row>
    <row r="82" spans="2:16" ht="16.149999999999999" customHeight="1">
      <c r="B82" s="111">
        <v>18</v>
      </c>
      <c r="C82" s="250" t="s">
        <v>299</v>
      </c>
      <c r="D82" s="251"/>
      <c r="E82" s="251"/>
      <c r="F82" s="251"/>
      <c r="G82" s="286"/>
      <c r="H82" s="275"/>
      <c r="I82" s="269">
        <v>18</v>
      </c>
      <c r="J82" s="322" t="s">
        <v>281</v>
      </c>
      <c r="K82" s="276"/>
      <c r="L82" s="276"/>
      <c r="M82" s="276"/>
      <c r="N82" s="276"/>
      <c r="O82" s="277"/>
    </row>
    <row r="83" spans="2:16" ht="16.149999999999999" customHeight="1">
      <c r="B83" s="111">
        <v>19</v>
      </c>
      <c r="C83" s="250" t="s">
        <v>301</v>
      </c>
      <c r="D83" s="251"/>
      <c r="E83" s="251"/>
      <c r="F83" s="251"/>
      <c r="G83" s="286"/>
      <c r="H83" s="275"/>
      <c r="I83" s="269"/>
      <c r="J83" s="313"/>
      <c r="K83" s="309"/>
      <c r="L83" s="309"/>
      <c r="M83" s="309"/>
      <c r="N83" s="309"/>
      <c r="O83" s="277"/>
    </row>
    <row r="84" spans="2:16" ht="16.149999999999999" customHeight="1">
      <c r="B84" s="111">
        <v>20</v>
      </c>
      <c r="C84" s="250" t="s">
        <v>302</v>
      </c>
      <c r="D84" s="251"/>
      <c r="E84" s="251"/>
      <c r="F84" s="251"/>
      <c r="G84" s="286"/>
      <c r="H84" s="275"/>
      <c r="I84" s="269"/>
      <c r="J84" s="313"/>
      <c r="K84" s="313"/>
      <c r="L84" s="313"/>
      <c r="M84" s="313"/>
      <c r="N84" s="313"/>
      <c r="O84" s="283"/>
    </row>
    <row r="85" spans="2:16" ht="16.149999999999999" customHeight="1">
      <c r="B85" s="111">
        <v>21</v>
      </c>
      <c r="C85" s="250" t="s">
        <v>303</v>
      </c>
      <c r="D85" s="286"/>
      <c r="E85" s="286"/>
      <c r="F85" s="251"/>
      <c r="G85" s="286"/>
      <c r="H85" s="275"/>
      <c r="I85" s="269"/>
      <c r="J85" s="292" t="s">
        <v>162</v>
      </c>
      <c r="K85" s="271"/>
      <c r="L85" s="271"/>
      <c r="M85" s="271"/>
      <c r="N85" s="271"/>
      <c r="O85" s="283"/>
    </row>
    <row r="86" spans="2:16" ht="16.149999999999999" customHeight="1">
      <c r="B86" s="111">
        <v>22</v>
      </c>
      <c r="C86" s="250" t="s">
        <v>304</v>
      </c>
      <c r="D86" s="265"/>
      <c r="E86" s="265"/>
      <c r="F86" s="251"/>
      <c r="G86" s="251"/>
      <c r="H86" s="275"/>
      <c r="I86" s="269"/>
      <c r="J86" s="282"/>
      <c r="K86" s="282"/>
      <c r="L86" s="282"/>
      <c r="M86" s="282"/>
      <c r="N86" s="282"/>
      <c r="O86" s="283"/>
    </row>
    <row r="87" spans="2:16" ht="16.149999999999999" customHeight="1">
      <c r="B87" s="111">
        <v>23</v>
      </c>
      <c r="C87" s="311" t="s">
        <v>305</v>
      </c>
      <c r="D87" s="274"/>
      <c r="E87" s="274"/>
      <c r="F87" s="286"/>
      <c r="G87" s="251"/>
      <c r="H87" s="275"/>
      <c r="I87" s="269">
        <v>1</v>
      </c>
      <c r="J87" s="430" t="s">
        <v>282</v>
      </c>
      <c r="K87" s="430"/>
      <c r="L87" s="430"/>
      <c r="M87" s="430"/>
      <c r="N87" s="430"/>
      <c r="O87" s="430"/>
    </row>
    <row r="88" spans="2:16" ht="16.149999999999999" customHeight="1">
      <c r="B88" s="111">
        <v>24</v>
      </c>
      <c r="C88" s="311" t="s">
        <v>305</v>
      </c>
      <c r="D88" s="286"/>
      <c r="E88" s="286"/>
      <c r="F88" s="286"/>
      <c r="G88" s="286"/>
      <c r="H88" s="275"/>
      <c r="I88" s="269"/>
      <c r="J88" s="434"/>
      <c r="K88" s="434"/>
      <c r="L88" s="434"/>
      <c r="M88" s="434"/>
      <c r="N88" s="434"/>
      <c r="O88" s="434"/>
    </row>
    <row r="89" spans="2:16" ht="24" customHeight="1">
      <c r="B89" s="325">
        <v>25</v>
      </c>
      <c r="C89" s="323" t="s">
        <v>306</v>
      </c>
      <c r="D89" s="274"/>
      <c r="E89" s="274"/>
      <c r="F89" s="274"/>
      <c r="G89" s="324"/>
      <c r="H89" s="251"/>
      <c r="I89" s="269"/>
      <c r="J89" s="434"/>
      <c r="K89" s="434"/>
      <c r="L89" s="434"/>
      <c r="M89" s="434"/>
      <c r="N89" s="434"/>
      <c r="O89" s="434"/>
    </row>
    <row r="90" spans="2:16" ht="16.149999999999999" customHeight="1">
      <c r="B90" s="111"/>
      <c r="C90" s="250"/>
      <c r="D90" s="286"/>
      <c r="E90" s="286"/>
      <c r="F90" s="286"/>
      <c r="G90" s="286"/>
      <c r="H90" s="251"/>
      <c r="I90" s="269"/>
      <c r="J90" s="434"/>
      <c r="K90" s="434"/>
      <c r="L90" s="434"/>
      <c r="M90" s="434"/>
      <c r="N90" s="434"/>
      <c r="O90" s="434"/>
    </row>
    <row r="91" spans="2:16" ht="16.149999999999999" customHeight="1">
      <c r="B91" s="111"/>
      <c r="C91" s="250"/>
      <c r="H91" s="275"/>
      <c r="I91" s="269"/>
      <c r="J91" s="434"/>
      <c r="K91" s="434"/>
      <c r="L91" s="434"/>
      <c r="M91" s="434"/>
      <c r="N91" s="434"/>
      <c r="O91" s="434"/>
    </row>
    <row r="92" spans="2:16" ht="16.149999999999999" customHeight="1">
      <c r="B92" s="111"/>
      <c r="C92" s="311"/>
      <c r="D92" s="285"/>
      <c r="E92" s="285"/>
      <c r="F92" s="285"/>
      <c r="G92" s="285"/>
      <c r="H92" s="275"/>
      <c r="I92" s="269"/>
      <c r="J92" s="434"/>
      <c r="K92" s="434"/>
      <c r="L92" s="434"/>
      <c r="M92" s="434"/>
      <c r="N92" s="434"/>
      <c r="O92" s="434"/>
      <c r="P92" s="264"/>
    </row>
    <row r="93" spans="2:16" ht="16.149999999999999" customHeight="1">
      <c r="B93" s="111"/>
      <c r="C93" s="311"/>
      <c r="D93" s="285"/>
      <c r="E93" s="285"/>
      <c r="F93" s="285"/>
      <c r="G93" s="285"/>
      <c r="H93" s="275"/>
      <c r="I93" s="269"/>
      <c r="J93" s="434"/>
      <c r="K93" s="434"/>
      <c r="L93" s="434"/>
      <c r="M93" s="434"/>
      <c r="N93" s="434"/>
      <c r="O93" s="434"/>
    </row>
    <row r="94" spans="2:16" ht="23.25">
      <c r="B94" s="111"/>
      <c r="C94" s="250"/>
      <c r="D94" s="285"/>
      <c r="E94" s="285"/>
      <c r="F94" s="285"/>
      <c r="G94" s="285"/>
      <c r="H94" s="275"/>
      <c r="I94" s="269"/>
      <c r="J94" s="434"/>
      <c r="K94" s="434"/>
      <c r="L94" s="434"/>
      <c r="M94" s="434"/>
      <c r="N94" s="434"/>
      <c r="O94" s="434"/>
    </row>
    <row r="95" spans="2:16" ht="20.25" customHeight="1">
      <c r="B95" s="111"/>
      <c r="C95" s="250"/>
      <c r="D95" s="286"/>
      <c r="E95" s="286"/>
      <c r="F95" s="286"/>
      <c r="G95" s="286"/>
      <c r="H95" s="275"/>
      <c r="I95" s="269"/>
      <c r="J95" s="434"/>
      <c r="K95" s="434"/>
      <c r="L95" s="434"/>
      <c r="M95" s="434"/>
      <c r="N95" s="434"/>
      <c r="O95" s="434"/>
    </row>
    <row r="96" spans="2:16" ht="18" customHeight="1">
      <c r="B96" s="111"/>
      <c r="C96" s="250"/>
      <c r="D96" s="286"/>
      <c r="E96" s="286"/>
      <c r="F96" s="286"/>
      <c r="G96" s="286"/>
      <c r="H96" s="275"/>
      <c r="I96" s="264"/>
      <c r="J96" s="393"/>
      <c r="K96" s="393"/>
      <c r="L96" s="393"/>
      <c r="M96" s="393"/>
      <c r="N96" s="393"/>
      <c r="O96" s="39"/>
    </row>
    <row r="97" spans="2:15" ht="23.25">
      <c r="B97" s="111"/>
      <c r="C97" s="311"/>
      <c r="D97" s="286"/>
      <c r="E97" s="286"/>
      <c r="F97" s="286"/>
      <c r="G97" s="286"/>
      <c r="H97" s="275"/>
      <c r="J97" s="393"/>
      <c r="K97" s="393"/>
      <c r="L97" s="393"/>
      <c r="M97" s="393"/>
      <c r="N97" s="393"/>
      <c r="O97" s="39"/>
    </row>
    <row r="98" spans="2:15" ht="23.25">
      <c r="B98" s="111"/>
      <c r="C98" s="311"/>
      <c r="D98" s="275"/>
      <c r="E98" s="275"/>
      <c r="F98" s="275"/>
      <c r="G98" s="275"/>
      <c r="H98" s="275"/>
      <c r="J98" s="393"/>
      <c r="K98" s="393"/>
      <c r="L98" s="393"/>
      <c r="M98" s="393"/>
      <c r="N98" s="393"/>
      <c r="O98" s="39"/>
    </row>
    <row r="99" spans="2:15" ht="23.25">
      <c r="B99" s="111"/>
      <c r="D99" s="265"/>
      <c r="E99" s="265"/>
      <c r="F99" s="265"/>
      <c r="G99" s="265"/>
      <c r="H99" s="265"/>
      <c r="J99" s="393"/>
      <c r="K99" s="393"/>
      <c r="L99" s="393"/>
      <c r="M99" s="393"/>
      <c r="N99" s="393"/>
      <c r="O99" s="39"/>
    </row>
    <row r="100" spans="2:15" ht="23.25">
      <c r="B100" s="111"/>
      <c r="D100" s="250"/>
      <c r="E100" s="250"/>
      <c r="F100" s="250"/>
      <c r="G100" s="250"/>
      <c r="H100" s="250"/>
      <c r="I100" s="264"/>
      <c r="J100" s="266"/>
      <c r="K100" s="266"/>
      <c r="L100" s="266"/>
      <c r="M100" s="266"/>
      <c r="N100" s="266"/>
      <c r="O100" s="39"/>
    </row>
    <row r="101" spans="2:15" ht="23.25">
      <c r="B101" s="111"/>
      <c r="D101" s="250"/>
      <c r="E101" s="250"/>
      <c r="F101" s="250"/>
      <c r="G101" s="250"/>
      <c r="H101" s="250"/>
      <c r="J101" s="393"/>
      <c r="K101" s="393"/>
      <c r="L101" s="393"/>
      <c r="M101" s="393"/>
      <c r="N101" s="393"/>
      <c r="O101" s="39"/>
    </row>
    <row r="102" spans="2:15" ht="23.25">
      <c r="B102" s="111"/>
      <c r="D102" s="250"/>
      <c r="E102" s="250"/>
      <c r="F102" s="250"/>
      <c r="G102" s="250"/>
      <c r="H102" s="250"/>
      <c r="J102" s="393"/>
      <c r="K102" s="393"/>
      <c r="L102" s="393"/>
      <c r="M102" s="393"/>
      <c r="N102" s="393"/>
      <c r="O102" s="39"/>
    </row>
    <row r="103" spans="2:15" ht="23.25">
      <c r="B103" s="111"/>
      <c r="C103" s="250"/>
      <c r="D103" s="250"/>
      <c r="E103" s="250"/>
      <c r="F103" s="250"/>
      <c r="G103" s="250"/>
      <c r="H103" s="250"/>
      <c r="J103" s="393"/>
      <c r="K103" s="393"/>
      <c r="L103" s="393"/>
      <c r="M103" s="393"/>
      <c r="N103" s="393"/>
      <c r="O103" s="39"/>
    </row>
    <row r="104" spans="2:15" ht="23.25">
      <c r="C104" s="392"/>
      <c r="D104" s="392"/>
      <c r="E104" s="392"/>
      <c r="F104" s="392"/>
      <c r="G104" s="392"/>
      <c r="H104" s="392"/>
      <c r="J104" s="393"/>
      <c r="K104" s="393"/>
      <c r="L104" s="393"/>
      <c r="M104" s="393"/>
      <c r="N104" s="393"/>
      <c r="O104" s="39"/>
    </row>
    <row r="105" spans="2:15" ht="23.25">
      <c r="C105" s="392"/>
      <c r="D105" s="392"/>
      <c r="E105" s="392"/>
      <c r="F105" s="392"/>
      <c r="G105" s="392"/>
      <c r="H105" s="392"/>
      <c r="J105" s="393"/>
      <c r="K105" s="393"/>
      <c r="L105" s="393"/>
      <c r="M105" s="393"/>
      <c r="N105" s="393"/>
      <c r="O105" s="39"/>
    </row>
    <row r="106" spans="2:15" ht="23.25">
      <c r="C106" s="392"/>
      <c r="D106" s="392"/>
      <c r="E106" s="392"/>
      <c r="F106" s="392"/>
      <c r="G106" s="392"/>
      <c r="H106" s="392"/>
      <c r="J106" s="393"/>
      <c r="K106" s="393"/>
      <c r="L106" s="393"/>
      <c r="M106" s="393"/>
      <c r="N106" s="393"/>
      <c r="O106" s="39"/>
    </row>
    <row r="107" spans="2:15" ht="23.25">
      <c r="C107" s="392"/>
      <c r="D107" s="392"/>
      <c r="E107" s="392"/>
      <c r="F107" s="392"/>
      <c r="G107" s="392"/>
      <c r="H107" s="392"/>
      <c r="J107" s="393"/>
      <c r="K107" s="393"/>
      <c r="L107" s="393"/>
      <c r="M107" s="393"/>
      <c r="N107" s="393"/>
      <c r="O107" s="39"/>
    </row>
    <row r="108" spans="2:15" ht="23.25">
      <c r="C108" s="392"/>
      <c r="D108" s="392"/>
      <c r="E108" s="392"/>
      <c r="F108" s="392"/>
      <c r="G108" s="392"/>
      <c r="H108" s="392"/>
      <c r="J108" s="393"/>
      <c r="K108" s="393"/>
      <c r="L108" s="393"/>
      <c r="M108" s="393"/>
      <c r="N108" s="393"/>
      <c r="O108" s="39"/>
    </row>
    <row r="109" spans="2:15" ht="23.25">
      <c r="C109" s="392"/>
      <c r="D109" s="392"/>
      <c r="E109" s="392"/>
      <c r="F109" s="392"/>
      <c r="G109" s="392"/>
      <c r="H109" s="392"/>
      <c r="J109" s="393"/>
      <c r="K109" s="393"/>
      <c r="L109" s="393"/>
      <c r="M109" s="393"/>
      <c r="N109" s="393"/>
      <c r="O109" s="39"/>
    </row>
    <row r="110" spans="2:15" ht="23.25">
      <c r="C110" s="392"/>
      <c r="D110" s="392"/>
      <c r="E110" s="392"/>
      <c r="F110" s="392"/>
      <c r="G110" s="392"/>
      <c r="H110" s="392"/>
      <c r="J110" s="393"/>
      <c r="K110" s="393"/>
      <c r="L110" s="393"/>
      <c r="M110" s="393"/>
      <c r="N110" s="393"/>
      <c r="O110" s="39"/>
    </row>
    <row r="111" spans="2:15" ht="23.25">
      <c r="C111" s="392"/>
      <c r="D111" s="392"/>
      <c r="E111" s="392"/>
      <c r="F111" s="392"/>
      <c r="G111" s="392"/>
      <c r="H111" s="392"/>
      <c r="J111" s="393"/>
      <c r="K111" s="393"/>
      <c r="L111" s="393"/>
      <c r="M111" s="393"/>
      <c r="N111" s="393"/>
      <c r="O111" s="39"/>
    </row>
    <row r="112" spans="2:15" ht="23.25">
      <c r="C112" s="392"/>
      <c r="D112" s="392"/>
      <c r="E112" s="392"/>
      <c r="F112" s="392"/>
      <c r="G112" s="392"/>
      <c r="H112" s="392"/>
      <c r="J112" s="393"/>
      <c r="K112" s="393"/>
      <c r="L112" s="393"/>
      <c r="M112" s="393"/>
      <c r="N112" s="393"/>
      <c r="O112" s="39"/>
    </row>
    <row r="113" spans="3:15" ht="23.25">
      <c r="C113" s="392"/>
      <c r="D113" s="392"/>
      <c r="E113" s="392"/>
      <c r="F113" s="392"/>
      <c r="G113" s="392"/>
      <c r="H113" s="392"/>
      <c r="J113" s="393"/>
      <c r="K113" s="393"/>
      <c r="L113" s="393"/>
      <c r="M113" s="393"/>
      <c r="N113" s="393"/>
      <c r="O113" s="39"/>
    </row>
    <row r="114" spans="3:15" ht="23.25">
      <c r="C114" s="392"/>
      <c r="D114" s="392"/>
      <c r="E114" s="392"/>
      <c r="F114" s="392"/>
      <c r="G114" s="392"/>
      <c r="H114" s="392"/>
      <c r="J114" s="393"/>
      <c r="K114" s="393"/>
      <c r="L114" s="393"/>
      <c r="M114" s="393"/>
      <c r="N114" s="393"/>
      <c r="O114" s="39"/>
    </row>
    <row r="115" spans="3:15" ht="23.25">
      <c r="C115" s="392"/>
      <c r="D115" s="392"/>
      <c r="E115" s="392"/>
      <c r="F115" s="392"/>
      <c r="G115" s="392"/>
      <c r="H115" s="392"/>
      <c r="J115" s="393"/>
      <c r="K115" s="393"/>
      <c r="L115" s="393"/>
      <c r="M115" s="393"/>
      <c r="N115" s="393"/>
      <c r="O115" s="39"/>
    </row>
    <row r="116" spans="3:15" ht="23.25">
      <c r="C116" s="392"/>
      <c r="D116" s="392"/>
      <c r="E116" s="392"/>
      <c r="F116" s="392"/>
      <c r="G116" s="392"/>
      <c r="H116" s="392"/>
      <c r="J116" s="393"/>
      <c r="K116" s="393"/>
      <c r="L116" s="393"/>
      <c r="M116" s="393"/>
      <c r="N116" s="393"/>
      <c r="O116" s="39"/>
    </row>
    <row r="117" spans="3:15" ht="23.25">
      <c r="C117" s="392"/>
      <c r="D117" s="392"/>
      <c r="E117" s="392"/>
      <c r="F117" s="392"/>
      <c r="G117" s="392"/>
      <c r="H117" s="392"/>
      <c r="J117" s="393"/>
      <c r="K117" s="393"/>
      <c r="L117" s="393"/>
      <c r="M117" s="393"/>
      <c r="N117" s="393"/>
      <c r="O117" s="39"/>
    </row>
    <row r="118" spans="3:15" ht="23.25">
      <c r="C118" s="392"/>
      <c r="D118" s="392"/>
      <c r="E118" s="392"/>
      <c r="F118" s="392"/>
      <c r="G118" s="392"/>
      <c r="H118" s="392"/>
      <c r="J118" s="393"/>
      <c r="K118" s="393"/>
      <c r="L118" s="393"/>
      <c r="M118" s="393"/>
      <c r="N118" s="393"/>
      <c r="O118" s="39"/>
    </row>
    <row r="119" spans="3:15" ht="23.25">
      <c r="C119" s="392"/>
      <c r="D119" s="392"/>
      <c r="E119" s="392"/>
      <c r="F119" s="392"/>
      <c r="G119" s="392"/>
      <c r="H119" s="392"/>
      <c r="J119" s="393"/>
      <c r="K119" s="393"/>
      <c r="L119" s="393"/>
      <c r="M119" s="393"/>
      <c r="N119" s="393"/>
      <c r="O119" s="39"/>
    </row>
    <row r="120" spans="3:15" ht="23.25">
      <c r="C120" s="392"/>
      <c r="D120" s="392"/>
      <c r="E120" s="392"/>
      <c r="F120" s="392"/>
      <c r="G120" s="392"/>
      <c r="H120" s="392"/>
      <c r="J120" s="393"/>
      <c r="K120" s="393"/>
      <c r="L120" s="393"/>
      <c r="M120" s="393"/>
      <c r="N120" s="393"/>
      <c r="O120" s="39"/>
    </row>
    <row r="121" spans="3:15" ht="23.25">
      <c r="C121" s="392"/>
      <c r="D121" s="392"/>
      <c r="E121" s="392"/>
      <c r="F121" s="392"/>
      <c r="G121" s="392"/>
      <c r="H121" s="392"/>
      <c r="J121" s="393"/>
      <c r="K121" s="393"/>
      <c r="L121" s="393"/>
      <c r="M121" s="393"/>
      <c r="N121" s="393"/>
      <c r="O121" s="39"/>
    </row>
    <row r="122" spans="3:15" ht="23.25">
      <c r="C122" s="392"/>
      <c r="D122" s="392"/>
      <c r="E122" s="392"/>
      <c r="F122" s="392"/>
      <c r="G122" s="392"/>
      <c r="H122" s="392"/>
      <c r="J122" s="393"/>
      <c r="K122" s="393"/>
      <c r="L122" s="393"/>
      <c r="M122" s="393"/>
      <c r="N122" s="393"/>
      <c r="O122" s="39"/>
    </row>
    <row r="123" spans="3:15" ht="23.25">
      <c r="C123" s="392"/>
      <c r="D123" s="392"/>
      <c r="E123" s="392"/>
      <c r="F123" s="392"/>
      <c r="G123" s="392"/>
      <c r="H123" s="392"/>
      <c r="J123" s="393"/>
      <c r="K123" s="393"/>
      <c r="L123" s="393"/>
      <c r="M123" s="393"/>
      <c r="N123" s="393"/>
      <c r="O123" s="39"/>
    </row>
    <row r="124" spans="3:15" ht="23.25">
      <c r="C124" s="392"/>
      <c r="D124" s="392"/>
      <c r="E124" s="392"/>
      <c r="F124" s="392"/>
      <c r="G124" s="392"/>
      <c r="H124" s="392"/>
      <c r="J124" s="393"/>
      <c r="K124" s="393"/>
      <c r="L124" s="393"/>
      <c r="M124" s="393"/>
      <c r="N124" s="393"/>
      <c r="O124" s="39"/>
    </row>
    <row r="125" spans="3:15" ht="23.25">
      <c r="C125" s="392"/>
      <c r="D125" s="392"/>
      <c r="E125" s="392"/>
      <c r="F125" s="392"/>
      <c r="G125" s="392"/>
      <c r="H125" s="392"/>
      <c r="J125" s="393"/>
      <c r="K125" s="393"/>
      <c r="L125" s="393"/>
      <c r="M125" s="393"/>
      <c r="N125" s="393"/>
      <c r="O125" s="39"/>
    </row>
    <row r="126" spans="3:15" ht="23.25">
      <c r="C126" s="392"/>
      <c r="D126" s="392"/>
      <c r="E126" s="392"/>
      <c r="F126" s="392"/>
      <c r="G126" s="392"/>
      <c r="H126" s="392"/>
      <c r="J126" s="393"/>
      <c r="K126" s="393"/>
      <c r="L126" s="393"/>
      <c r="M126" s="393"/>
      <c r="N126" s="393"/>
      <c r="O126" s="39"/>
    </row>
    <row r="127" spans="3:15" ht="23.25">
      <c r="C127" s="392"/>
      <c r="D127" s="392"/>
      <c r="E127" s="392"/>
      <c r="F127" s="392"/>
      <c r="G127" s="392"/>
      <c r="H127" s="392"/>
      <c r="J127" s="393"/>
      <c r="K127" s="393"/>
      <c r="L127" s="393"/>
      <c r="M127" s="393"/>
      <c r="N127" s="393"/>
      <c r="O127" s="39"/>
    </row>
    <row r="128" spans="3:15" ht="23.25">
      <c r="C128" s="392"/>
      <c r="D128" s="392"/>
      <c r="E128" s="392"/>
      <c r="F128" s="392"/>
      <c r="G128" s="392"/>
      <c r="H128" s="392"/>
      <c r="J128" s="393"/>
      <c r="K128" s="393"/>
      <c r="L128" s="393"/>
      <c r="M128" s="393"/>
      <c r="N128" s="393"/>
      <c r="O128" s="39"/>
    </row>
    <row r="129" spans="3:15" ht="23.25">
      <c r="C129" s="392"/>
      <c r="D129" s="392"/>
      <c r="E129" s="392"/>
      <c r="F129" s="392"/>
      <c r="G129" s="392"/>
      <c r="H129" s="392"/>
      <c r="J129" s="393"/>
      <c r="K129" s="393"/>
      <c r="L129" s="393"/>
      <c r="M129" s="393"/>
      <c r="N129" s="393"/>
      <c r="O129" s="39"/>
    </row>
    <row r="130" spans="3:15" ht="23.25">
      <c r="C130" s="392"/>
      <c r="D130" s="392"/>
      <c r="E130" s="392"/>
      <c r="F130" s="392"/>
      <c r="G130" s="392"/>
      <c r="H130" s="392"/>
      <c r="J130" s="393"/>
      <c r="K130" s="393"/>
      <c r="L130" s="393"/>
      <c r="M130" s="393"/>
      <c r="N130" s="393"/>
      <c r="O130" s="39"/>
    </row>
    <row r="131" spans="3:15" ht="23.25">
      <c r="C131" s="392"/>
      <c r="D131" s="392"/>
      <c r="E131" s="392"/>
      <c r="F131" s="392"/>
      <c r="G131" s="392"/>
      <c r="H131" s="392"/>
      <c r="J131" s="393"/>
      <c r="K131" s="393"/>
      <c r="L131" s="393"/>
      <c r="M131" s="393"/>
      <c r="N131" s="393"/>
      <c r="O131" s="39"/>
    </row>
    <row r="132" spans="3:15" ht="23.25">
      <c r="C132" s="392"/>
      <c r="D132" s="392"/>
      <c r="E132" s="392"/>
      <c r="F132" s="392"/>
      <c r="G132" s="392"/>
      <c r="H132" s="392"/>
      <c r="J132" s="393"/>
      <c r="K132" s="393"/>
      <c r="L132" s="393"/>
      <c r="M132" s="393"/>
      <c r="N132" s="393"/>
      <c r="O132" s="39"/>
    </row>
    <row r="133" spans="3:15" ht="23.25">
      <c r="C133" s="392"/>
      <c r="D133" s="392"/>
      <c r="E133" s="392"/>
      <c r="F133" s="392"/>
      <c r="G133" s="392"/>
      <c r="H133" s="392"/>
      <c r="J133" s="393"/>
      <c r="K133" s="393"/>
      <c r="L133" s="393"/>
      <c r="M133" s="393"/>
      <c r="N133" s="393"/>
      <c r="O133" s="39"/>
    </row>
    <row r="134" spans="3:15" ht="23.25">
      <c r="C134" s="392"/>
      <c r="D134" s="392"/>
      <c r="E134" s="392"/>
      <c r="F134" s="392"/>
      <c r="G134" s="392"/>
      <c r="H134" s="392"/>
      <c r="J134" s="393"/>
      <c r="K134" s="393"/>
      <c r="L134" s="393"/>
      <c r="M134" s="393"/>
      <c r="N134" s="393"/>
      <c r="O134" s="39"/>
    </row>
    <row r="135" spans="3:15" ht="23.25">
      <c r="C135" s="392"/>
      <c r="D135" s="392"/>
      <c r="E135" s="392"/>
      <c r="F135" s="392"/>
      <c r="G135" s="392"/>
      <c r="H135" s="392"/>
      <c r="J135" s="393"/>
      <c r="K135" s="393"/>
      <c r="L135" s="393"/>
      <c r="M135" s="393"/>
      <c r="N135" s="393"/>
      <c r="O135" s="39"/>
    </row>
    <row r="136" spans="3:15" ht="23.25">
      <c r="C136" s="392"/>
      <c r="D136" s="392"/>
      <c r="E136" s="392"/>
      <c r="F136" s="392"/>
      <c r="G136" s="392"/>
      <c r="H136" s="392"/>
      <c r="J136" s="393"/>
      <c r="K136" s="393"/>
      <c r="L136" s="393"/>
      <c r="M136" s="393"/>
      <c r="N136" s="393"/>
      <c r="O136" s="39"/>
    </row>
    <row r="137" spans="3:15" ht="23.25">
      <c r="C137" s="392"/>
      <c r="D137" s="392"/>
      <c r="E137" s="392"/>
      <c r="F137" s="392"/>
      <c r="G137" s="392"/>
      <c r="H137" s="392"/>
      <c r="J137" s="393"/>
      <c r="K137" s="393"/>
      <c r="L137" s="393"/>
      <c r="M137" s="393"/>
      <c r="N137" s="393"/>
      <c r="O137" s="39"/>
    </row>
    <row r="138" spans="3:15" ht="23.25">
      <c r="C138" s="392"/>
      <c r="D138" s="392"/>
      <c r="E138" s="392"/>
      <c r="F138" s="392"/>
      <c r="G138" s="392"/>
      <c r="H138" s="392"/>
      <c r="J138" s="393"/>
      <c r="K138" s="393"/>
      <c r="L138" s="393"/>
      <c r="M138" s="393"/>
      <c r="N138" s="393"/>
      <c r="O138" s="39"/>
    </row>
    <row r="139" spans="3:15" ht="23.25">
      <c r="C139" s="392"/>
      <c r="D139" s="392"/>
      <c r="E139" s="392"/>
      <c r="F139" s="392"/>
      <c r="G139" s="392"/>
      <c r="H139" s="392"/>
      <c r="J139" s="393"/>
      <c r="K139" s="393"/>
      <c r="L139" s="393"/>
      <c r="M139" s="393"/>
      <c r="N139" s="393"/>
      <c r="O139" s="39"/>
    </row>
    <row r="140" spans="3:15" ht="23.25">
      <c r="C140" s="392"/>
      <c r="D140" s="392"/>
      <c r="E140" s="392"/>
      <c r="F140" s="392"/>
      <c r="G140" s="392"/>
      <c r="H140" s="392"/>
      <c r="J140" s="393"/>
      <c r="K140" s="393"/>
      <c r="L140" s="393"/>
      <c r="M140" s="393"/>
      <c r="N140" s="393"/>
      <c r="O140" s="39"/>
    </row>
    <row r="141" spans="3:15" ht="23.25">
      <c r="C141" s="392"/>
      <c r="D141" s="392"/>
      <c r="E141" s="392"/>
      <c r="F141" s="392"/>
      <c r="G141" s="392"/>
      <c r="H141" s="392"/>
      <c r="J141" s="393"/>
      <c r="K141" s="393"/>
      <c r="L141" s="393"/>
      <c r="M141" s="393"/>
      <c r="N141" s="393"/>
      <c r="O141" s="39"/>
    </row>
    <row r="142" spans="3:15" ht="23.25">
      <c r="C142" s="392"/>
      <c r="D142" s="392"/>
      <c r="E142" s="392"/>
      <c r="F142" s="392"/>
      <c r="G142" s="392"/>
      <c r="H142" s="392"/>
      <c r="J142" s="393"/>
      <c r="K142" s="393"/>
      <c r="L142" s="393"/>
      <c r="M142" s="393"/>
      <c r="N142" s="393"/>
      <c r="O142" s="39"/>
    </row>
    <row r="143" spans="3:15" ht="23.25">
      <c r="C143" s="392"/>
      <c r="D143" s="392"/>
      <c r="E143" s="392"/>
      <c r="F143" s="392"/>
      <c r="G143" s="392"/>
      <c r="H143" s="392"/>
      <c r="J143" s="393"/>
      <c r="K143" s="393"/>
      <c r="L143" s="393"/>
      <c r="M143" s="393"/>
      <c r="N143" s="393"/>
      <c r="O143" s="39"/>
    </row>
    <row r="144" spans="3:15" ht="23.25">
      <c r="C144" s="392"/>
      <c r="D144" s="392"/>
      <c r="E144" s="392"/>
      <c r="F144" s="392"/>
      <c r="G144" s="392"/>
      <c r="H144" s="392"/>
      <c r="J144" s="393"/>
      <c r="K144" s="393"/>
      <c r="L144" s="393"/>
      <c r="M144" s="393"/>
      <c r="N144" s="393"/>
      <c r="O144" s="39"/>
    </row>
    <row r="145" spans="3:15" ht="23.25">
      <c r="C145" s="392"/>
      <c r="D145" s="392"/>
      <c r="E145" s="392"/>
      <c r="F145" s="392"/>
      <c r="G145" s="392"/>
      <c r="H145" s="392"/>
      <c r="J145" s="393"/>
      <c r="K145" s="393"/>
      <c r="L145" s="393"/>
      <c r="M145" s="393"/>
      <c r="N145" s="393"/>
      <c r="O145" s="39"/>
    </row>
    <row r="146" spans="3:15" ht="23.25">
      <c r="C146" s="392"/>
      <c r="D146" s="392"/>
      <c r="E146" s="392"/>
      <c r="F146" s="392"/>
      <c r="G146" s="392"/>
      <c r="H146" s="392"/>
      <c r="J146" s="393"/>
      <c r="K146" s="393"/>
      <c r="L146" s="393"/>
      <c r="M146" s="393"/>
      <c r="N146" s="393"/>
      <c r="O146" s="39"/>
    </row>
    <row r="147" spans="3:15" ht="23.25">
      <c r="C147" s="392"/>
      <c r="D147" s="392"/>
      <c r="E147" s="392"/>
      <c r="F147" s="392"/>
      <c r="G147" s="392"/>
      <c r="H147" s="392"/>
      <c r="J147" s="393"/>
      <c r="K147" s="393"/>
      <c r="L147" s="393"/>
      <c r="M147" s="393"/>
      <c r="N147" s="393"/>
      <c r="O147" s="39"/>
    </row>
    <row r="148" spans="3:15" ht="23.25">
      <c r="C148" s="392"/>
      <c r="D148" s="392"/>
      <c r="E148" s="392"/>
      <c r="F148" s="392"/>
      <c r="G148" s="392"/>
      <c r="H148" s="392"/>
      <c r="J148" s="393"/>
      <c r="K148" s="393"/>
      <c r="L148" s="393"/>
      <c r="M148" s="393"/>
      <c r="N148" s="393"/>
      <c r="O148" s="39"/>
    </row>
    <row r="149" spans="3:15" ht="23.25">
      <c r="C149" s="392"/>
      <c r="D149" s="392"/>
      <c r="E149" s="392"/>
      <c r="F149" s="392"/>
      <c r="G149" s="392"/>
      <c r="H149" s="392"/>
      <c r="J149" s="393"/>
      <c r="K149" s="393"/>
      <c r="L149" s="393"/>
      <c r="M149" s="393"/>
      <c r="N149" s="393"/>
      <c r="O149" s="39"/>
    </row>
    <row r="150" spans="3:15" ht="23.25">
      <c r="C150" s="392"/>
      <c r="D150" s="392"/>
      <c r="E150" s="392"/>
      <c r="F150" s="392"/>
      <c r="G150" s="392"/>
      <c r="H150" s="392"/>
      <c r="J150" s="393"/>
      <c r="K150" s="393"/>
      <c r="L150" s="393"/>
      <c r="M150" s="393"/>
      <c r="N150" s="393"/>
      <c r="O150" s="39"/>
    </row>
    <row r="151" spans="3:15" ht="23.25">
      <c r="C151" s="392"/>
      <c r="D151" s="392"/>
      <c r="E151" s="392"/>
      <c r="F151" s="392"/>
      <c r="G151" s="392"/>
      <c r="H151" s="392"/>
      <c r="J151" s="393"/>
      <c r="K151" s="393"/>
      <c r="L151" s="393"/>
      <c r="M151" s="393"/>
      <c r="N151" s="393"/>
      <c r="O151" s="39"/>
    </row>
    <row r="152" spans="3:15" ht="23.25">
      <c r="C152" s="392"/>
      <c r="D152" s="392"/>
      <c r="E152" s="392"/>
      <c r="F152" s="392"/>
      <c r="G152" s="392"/>
      <c r="H152" s="392"/>
      <c r="J152" s="393"/>
      <c r="K152" s="393"/>
      <c r="L152" s="393"/>
      <c r="M152" s="393"/>
      <c r="N152" s="393"/>
      <c r="O152" s="39"/>
    </row>
    <row r="153" spans="3:15" ht="23.25">
      <c r="C153" s="392"/>
      <c r="D153" s="392"/>
      <c r="E153" s="392"/>
      <c r="F153" s="392"/>
      <c r="G153" s="392"/>
      <c r="H153" s="392"/>
      <c r="J153" s="393"/>
      <c r="K153" s="393"/>
      <c r="L153" s="393"/>
      <c r="M153" s="393"/>
      <c r="N153" s="393"/>
      <c r="O153" s="39"/>
    </row>
    <row r="154" spans="3:15" ht="23.25">
      <c r="C154" s="392"/>
      <c r="D154" s="392"/>
      <c r="E154" s="392"/>
      <c r="F154" s="392"/>
      <c r="G154" s="392"/>
      <c r="H154" s="392"/>
      <c r="J154" s="393"/>
      <c r="K154" s="393"/>
      <c r="L154" s="393"/>
      <c r="M154" s="393"/>
      <c r="N154" s="393"/>
      <c r="O154" s="39"/>
    </row>
    <row r="155" spans="3:15" ht="23.25">
      <c r="C155" s="392"/>
      <c r="D155" s="392"/>
      <c r="E155" s="392"/>
      <c r="F155" s="392"/>
      <c r="G155" s="392"/>
      <c r="H155" s="392"/>
      <c r="J155" s="393"/>
      <c r="K155" s="393"/>
      <c r="L155" s="393"/>
      <c r="M155" s="393"/>
      <c r="N155" s="393"/>
      <c r="O155" s="39"/>
    </row>
    <row r="156" spans="3:15" ht="23.25">
      <c r="C156" s="392"/>
      <c r="D156" s="392"/>
      <c r="E156" s="392"/>
      <c r="F156" s="392"/>
      <c r="G156" s="392"/>
      <c r="H156" s="392"/>
      <c r="J156" s="393"/>
      <c r="K156" s="393"/>
      <c r="L156" s="393"/>
      <c r="M156" s="393"/>
      <c r="N156" s="393"/>
      <c r="O156" s="39"/>
    </row>
    <row r="157" spans="3:15" ht="23.25">
      <c r="C157" s="392"/>
      <c r="D157" s="392"/>
      <c r="E157" s="392"/>
      <c r="F157" s="392"/>
      <c r="G157" s="392"/>
      <c r="H157" s="392"/>
      <c r="J157" s="393"/>
      <c r="K157" s="393"/>
      <c r="L157" s="393"/>
      <c r="M157" s="393"/>
      <c r="N157" s="393"/>
      <c r="O157" s="39"/>
    </row>
    <row r="158" spans="3:15" ht="23.25">
      <c r="C158" s="392"/>
      <c r="D158" s="392"/>
      <c r="E158" s="392"/>
      <c r="F158" s="392"/>
      <c r="G158" s="392"/>
      <c r="H158" s="392"/>
      <c r="J158" s="393"/>
      <c r="K158" s="393"/>
      <c r="L158" s="393"/>
      <c r="M158" s="393"/>
      <c r="N158" s="393"/>
      <c r="O158" s="39"/>
    </row>
    <row r="159" spans="3:15" ht="23.25">
      <c r="C159" s="392"/>
      <c r="D159" s="392"/>
      <c r="E159" s="392"/>
      <c r="F159" s="392"/>
      <c r="G159" s="392"/>
      <c r="H159" s="392"/>
      <c r="J159" s="393"/>
      <c r="K159" s="393"/>
      <c r="L159" s="393"/>
      <c r="M159" s="393"/>
      <c r="N159" s="393"/>
      <c r="O159" s="39"/>
    </row>
    <row r="160" spans="3:15" ht="23.25">
      <c r="C160" s="392"/>
      <c r="D160" s="392"/>
      <c r="E160" s="392"/>
      <c r="F160" s="392"/>
      <c r="G160" s="392"/>
      <c r="H160" s="392"/>
      <c r="J160" s="393"/>
      <c r="K160" s="393"/>
      <c r="L160" s="393"/>
      <c r="M160" s="393"/>
      <c r="N160" s="393"/>
      <c r="O160" s="39"/>
    </row>
    <row r="161" spans="3:15" ht="23.25">
      <c r="C161" s="392"/>
      <c r="D161" s="392"/>
      <c r="E161" s="392"/>
      <c r="F161" s="392"/>
      <c r="G161" s="392"/>
      <c r="H161" s="392"/>
      <c r="J161" s="393"/>
      <c r="K161" s="393"/>
      <c r="L161" s="393"/>
      <c r="M161" s="393"/>
      <c r="N161" s="393"/>
      <c r="O161" s="39"/>
    </row>
    <row r="162" spans="3:15" ht="23.25">
      <c r="C162" s="392"/>
      <c r="D162" s="392"/>
      <c r="E162" s="392"/>
      <c r="F162" s="392"/>
      <c r="G162" s="392"/>
      <c r="H162" s="392"/>
      <c r="J162" s="393"/>
      <c r="K162" s="393"/>
      <c r="L162" s="393"/>
      <c r="M162" s="393"/>
      <c r="N162" s="393"/>
      <c r="O162" s="39"/>
    </row>
    <row r="163" spans="3:15" ht="23.25">
      <c r="C163" s="392"/>
      <c r="D163" s="392"/>
      <c r="E163" s="392"/>
      <c r="F163" s="392"/>
      <c r="G163" s="392"/>
      <c r="H163" s="392"/>
      <c r="J163" s="393"/>
      <c r="K163" s="393"/>
      <c r="L163" s="393"/>
      <c r="M163" s="393"/>
      <c r="N163" s="393"/>
      <c r="O163" s="39"/>
    </row>
    <row r="164" spans="3:15" ht="23.25">
      <c r="C164" s="392"/>
      <c r="D164" s="392"/>
      <c r="E164" s="392"/>
      <c r="F164" s="392"/>
      <c r="G164" s="392"/>
      <c r="H164" s="392"/>
      <c r="J164" s="393"/>
      <c r="K164" s="393"/>
      <c r="L164" s="393"/>
      <c r="M164" s="393"/>
      <c r="N164" s="393"/>
      <c r="O164" s="39"/>
    </row>
    <row r="165" spans="3:15" ht="23.25">
      <c r="C165" s="392"/>
      <c r="D165" s="392"/>
      <c r="E165" s="392"/>
      <c r="F165" s="392"/>
      <c r="G165" s="392"/>
      <c r="H165" s="392"/>
      <c r="J165" s="393"/>
      <c r="K165" s="393"/>
      <c r="L165" s="393"/>
      <c r="M165" s="393"/>
      <c r="N165" s="393"/>
      <c r="O165" s="39"/>
    </row>
    <row r="166" spans="3:15" ht="23.25">
      <c r="C166" s="392"/>
      <c r="D166" s="392"/>
      <c r="E166" s="392"/>
      <c r="F166" s="392"/>
      <c r="G166" s="392"/>
      <c r="H166" s="392"/>
      <c r="J166" s="393"/>
      <c r="K166" s="393"/>
      <c r="L166" s="393"/>
      <c r="M166" s="393"/>
      <c r="N166" s="393"/>
      <c r="O166" s="39"/>
    </row>
    <row r="167" spans="3:15" ht="6.75" customHeight="1">
      <c r="C167" s="392"/>
      <c r="D167" s="392"/>
      <c r="E167" s="392"/>
      <c r="F167" s="392"/>
      <c r="G167" s="392"/>
      <c r="H167" s="392"/>
      <c r="J167" s="393"/>
      <c r="K167" s="393"/>
      <c r="L167" s="393"/>
      <c r="M167" s="393"/>
      <c r="N167" s="393"/>
      <c r="O167" s="39"/>
    </row>
    <row r="168" spans="3:15" ht="23.25" hidden="1">
      <c r="C168" s="392"/>
      <c r="D168" s="392"/>
      <c r="E168" s="392"/>
      <c r="F168" s="392"/>
      <c r="G168" s="392"/>
      <c r="H168" s="392"/>
      <c r="J168" s="393"/>
      <c r="K168" s="393"/>
      <c r="L168" s="393"/>
      <c r="M168" s="393"/>
      <c r="N168" s="393"/>
      <c r="O168" s="39"/>
    </row>
    <row r="169" spans="3:15" ht="23.25" hidden="1">
      <c r="C169" s="392"/>
      <c r="D169" s="392"/>
      <c r="E169" s="392"/>
      <c r="F169" s="392"/>
      <c r="G169" s="392"/>
      <c r="H169" s="392"/>
      <c r="J169" s="393"/>
      <c r="K169" s="393"/>
      <c r="L169" s="393"/>
      <c r="M169" s="393"/>
      <c r="N169" s="393"/>
      <c r="O169" s="39"/>
    </row>
    <row r="170" spans="3:15" ht="23.25" hidden="1">
      <c r="C170" s="392"/>
      <c r="D170" s="392"/>
      <c r="E170" s="392"/>
      <c r="F170" s="392"/>
      <c r="G170" s="392"/>
      <c r="H170" s="392"/>
      <c r="J170" s="393"/>
      <c r="K170" s="393"/>
      <c r="L170" s="393"/>
      <c r="M170" s="393"/>
      <c r="N170" s="393"/>
      <c r="O170" s="39"/>
    </row>
    <row r="171" spans="3:15" ht="23.25" hidden="1">
      <c r="C171" s="392"/>
      <c r="D171" s="392"/>
      <c r="E171" s="392"/>
      <c r="F171" s="392"/>
      <c r="G171" s="392"/>
      <c r="H171" s="392"/>
      <c r="J171" s="393"/>
      <c r="K171" s="393"/>
      <c r="L171" s="393"/>
      <c r="M171" s="393"/>
      <c r="N171" s="393"/>
      <c r="O171" s="39"/>
    </row>
    <row r="172" spans="3:15" ht="23.25" hidden="1">
      <c r="C172" s="392"/>
      <c r="D172" s="392"/>
      <c r="E172" s="392"/>
      <c r="F172" s="392"/>
      <c r="G172" s="392"/>
      <c r="H172" s="392"/>
      <c r="J172" s="393"/>
      <c r="K172" s="393"/>
      <c r="L172" s="393"/>
      <c r="M172" s="393"/>
      <c r="N172" s="393"/>
      <c r="O172" s="39"/>
    </row>
    <row r="173" spans="3:15" ht="23.25" hidden="1">
      <c r="C173" s="392"/>
      <c r="D173" s="392"/>
      <c r="E173" s="392"/>
      <c r="F173" s="392"/>
      <c r="G173" s="392"/>
      <c r="H173" s="392"/>
      <c r="J173" s="393"/>
      <c r="K173" s="393"/>
      <c r="L173" s="393"/>
      <c r="M173" s="393"/>
      <c r="N173" s="393"/>
      <c r="O173" s="39"/>
    </row>
    <row r="174" spans="3:15" ht="23.25">
      <c r="C174" s="392"/>
      <c r="D174" s="392"/>
      <c r="E174" s="392"/>
      <c r="F174" s="392"/>
      <c r="G174" s="392"/>
      <c r="H174" s="392"/>
      <c r="J174" s="393"/>
      <c r="K174" s="393"/>
      <c r="L174" s="393"/>
      <c r="M174" s="393"/>
      <c r="N174" s="393"/>
      <c r="O174" s="39"/>
    </row>
    <row r="175" spans="3:15" ht="23.25">
      <c r="C175" s="392"/>
      <c r="D175" s="392"/>
      <c r="E175" s="392"/>
      <c r="F175" s="392"/>
      <c r="G175" s="392"/>
      <c r="H175" s="392"/>
      <c r="J175" s="393"/>
      <c r="K175" s="393"/>
      <c r="L175" s="393"/>
      <c r="M175" s="393"/>
      <c r="N175" s="393"/>
      <c r="O175" s="39"/>
    </row>
    <row r="176" spans="3:15" ht="23.25">
      <c r="C176" s="392"/>
      <c r="D176" s="392"/>
      <c r="E176" s="392"/>
      <c r="F176" s="392"/>
      <c r="G176" s="392"/>
      <c r="H176" s="392"/>
      <c r="J176" s="393"/>
      <c r="K176" s="393"/>
      <c r="L176" s="393"/>
      <c r="M176" s="393"/>
      <c r="N176" s="393"/>
      <c r="O176" s="39"/>
    </row>
    <row r="177" spans="3:15" ht="23.25">
      <c r="C177" s="392"/>
      <c r="D177" s="392"/>
      <c r="E177" s="392"/>
      <c r="F177" s="392"/>
      <c r="G177" s="392"/>
      <c r="H177" s="392"/>
      <c r="J177" s="393"/>
      <c r="K177" s="393"/>
      <c r="L177" s="393"/>
      <c r="M177" s="393"/>
      <c r="N177" s="393"/>
      <c r="O177" s="39"/>
    </row>
    <row r="178" spans="3:15" ht="23.25">
      <c r="C178" s="392"/>
      <c r="D178" s="392"/>
      <c r="E178" s="392"/>
      <c r="F178" s="392"/>
      <c r="G178" s="392"/>
      <c r="H178" s="392"/>
      <c r="J178" s="393"/>
      <c r="K178" s="393"/>
      <c r="L178" s="393"/>
      <c r="M178" s="393"/>
      <c r="N178" s="393"/>
      <c r="O178" s="39"/>
    </row>
    <row r="179" spans="3:15" ht="23.25">
      <c r="C179" s="392"/>
      <c r="D179" s="392"/>
      <c r="E179" s="392"/>
      <c r="F179" s="392"/>
      <c r="G179" s="392"/>
      <c r="H179" s="392"/>
      <c r="J179" s="393"/>
      <c r="K179" s="393"/>
      <c r="L179" s="393"/>
      <c r="M179" s="393"/>
      <c r="N179" s="393"/>
      <c r="O179" s="39"/>
    </row>
    <row r="180" spans="3:15" ht="23.25">
      <c r="C180" s="392"/>
      <c r="D180" s="392"/>
      <c r="E180" s="392"/>
      <c r="F180" s="392"/>
      <c r="G180" s="392"/>
      <c r="H180" s="392"/>
      <c r="J180" s="393"/>
      <c r="K180" s="393"/>
      <c r="L180" s="393"/>
      <c r="M180" s="393"/>
      <c r="N180" s="393"/>
      <c r="O180" s="39"/>
    </row>
    <row r="181" spans="3:15" ht="23.25">
      <c r="C181" s="392"/>
      <c r="D181" s="392"/>
      <c r="E181" s="392"/>
      <c r="F181" s="392"/>
      <c r="G181" s="392"/>
      <c r="H181" s="392"/>
      <c r="J181" s="393"/>
      <c r="K181" s="393"/>
      <c r="L181" s="393"/>
      <c r="M181" s="393"/>
      <c r="N181" s="393"/>
      <c r="O181" s="39"/>
    </row>
    <row r="182" spans="3:15" ht="23.25">
      <c r="C182" s="392"/>
      <c r="D182" s="392"/>
      <c r="E182" s="392"/>
      <c r="F182" s="392"/>
      <c r="G182" s="392"/>
      <c r="H182" s="392"/>
      <c r="J182" s="393"/>
      <c r="K182" s="393"/>
      <c r="L182" s="393"/>
      <c r="M182" s="393"/>
      <c r="N182" s="393"/>
      <c r="O182" s="39"/>
    </row>
    <row r="183" spans="3:15" ht="23.25">
      <c r="C183" s="392"/>
      <c r="D183" s="392"/>
      <c r="E183" s="392"/>
      <c r="F183" s="392"/>
      <c r="G183" s="392"/>
      <c r="H183" s="392"/>
      <c r="J183" s="393"/>
      <c r="K183" s="393"/>
      <c r="L183" s="393"/>
      <c r="M183" s="393"/>
      <c r="N183" s="393"/>
      <c r="O183" s="39"/>
    </row>
    <row r="184" spans="3:15" ht="23.25">
      <c r="C184" s="392"/>
      <c r="D184" s="392"/>
      <c r="E184" s="392"/>
      <c r="F184" s="392"/>
      <c r="G184" s="392"/>
      <c r="H184" s="392"/>
      <c r="J184" s="393"/>
      <c r="K184" s="393"/>
      <c r="L184" s="393"/>
      <c r="M184" s="393"/>
      <c r="N184" s="393"/>
      <c r="O184" s="39"/>
    </row>
    <row r="185" spans="3:15" ht="23.25">
      <c r="C185" s="392"/>
      <c r="D185" s="392"/>
      <c r="E185" s="392"/>
      <c r="F185" s="392"/>
      <c r="G185" s="392"/>
      <c r="H185" s="392"/>
      <c r="J185" s="393"/>
      <c r="K185" s="393"/>
      <c r="L185" s="393"/>
      <c r="M185" s="393"/>
      <c r="N185" s="393"/>
      <c r="O185" s="39"/>
    </row>
    <row r="186" spans="3:15" ht="23.25">
      <c r="C186" s="392"/>
      <c r="D186" s="392"/>
      <c r="E186" s="392"/>
      <c r="F186" s="392"/>
      <c r="G186" s="392"/>
      <c r="H186" s="392"/>
      <c r="J186" s="393"/>
      <c r="K186" s="393"/>
      <c r="L186" s="393"/>
      <c r="M186" s="393"/>
      <c r="N186" s="393"/>
      <c r="O186" s="39"/>
    </row>
    <row r="187" spans="3:15" ht="23.25">
      <c r="C187" s="392"/>
      <c r="D187" s="392"/>
      <c r="E187" s="392"/>
      <c r="F187" s="392"/>
      <c r="G187" s="392"/>
      <c r="H187" s="392"/>
      <c r="J187" s="393"/>
      <c r="K187" s="393"/>
      <c r="L187" s="393"/>
      <c r="M187" s="393"/>
      <c r="N187" s="393"/>
      <c r="O187" s="39"/>
    </row>
    <row r="188" spans="3:15" ht="23.25">
      <c r="C188" s="392"/>
      <c r="D188" s="392"/>
      <c r="E188" s="392"/>
      <c r="F188" s="392"/>
      <c r="G188" s="392"/>
      <c r="H188" s="392"/>
      <c r="J188" s="393"/>
      <c r="K188" s="393"/>
      <c r="L188" s="393"/>
      <c r="M188" s="393"/>
      <c r="N188" s="393"/>
      <c r="O188" s="39"/>
    </row>
    <row r="189" spans="3:15" ht="23.25">
      <c r="C189" s="392"/>
      <c r="D189" s="392"/>
      <c r="E189" s="392"/>
      <c r="F189" s="392"/>
      <c r="G189" s="392"/>
      <c r="H189" s="392"/>
      <c r="J189" s="393"/>
      <c r="K189" s="393"/>
      <c r="L189" s="393"/>
      <c r="M189" s="393"/>
      <c r="N189" s="393"/>
      <c r="O189" s="39"/>
    </row>
    <row r="190" spans="3:15" ht="23.25">
      <c r="C190" s="392"/>
      <c r="D190" s="392"/>
      <c r="E190" s="392"/>
      <c r="F190" s="392"/>
      <c r="G190" s="392"/>
      <c r="H190" s="392"/>
      <c r="J190" s="393"/>
      <c r="K190" s="393"/>
      <c r="L190" s="393"/>
      <c r="M190" s="393"/>
      <c r="N190" s="393"/>
      <c r="O190" s="39"/>
    </row>
    <row r="191" spans="3:15" ht="23.25">
      <c r="C191" s="392"/>
      <c r="D191" s="392"/>
      <c r="E191" s="392"/>
      <c r="F191" s="392"/>
      <c r="G191" s="392"/>
      <c r="H191" s="392"/>
      <c r="J191" s="393"/>
      <c r="K191" s="393"/>
      <c r="L191" s="393"/>
      <c r="M191" s="393"/>
      <c r="N191" s="393"/>
      <c r="O191" s="39"/>
    </row>
    <row r="192" spans="3:15" ht="23.25">
      <c r="J192" s="393"/>
      <c r="K192" s="393"/>
      <c r="L192" s="393"/>
      <c r="M192" s="393"/>
      <c r="N192" s="393"/>
      <c r="O192" s="39"/>
    </row>
  </sheetData>
  <sheetProtection selectLockedCells="1" selectUnlockedCells="1"/>
  <mergeCells count="315">
    <mergeCell ref="V20:W20"/>
    <mergeCell ref="C62:F62"/>
    <mergeCell ref="K55:M55"/>
    <mergeCell ref="O55:P55"/>
    <mergeCell ref="J62:N62"/>
    <mergeCell ref="F53:G53"/>
    <mergeCell ref="C24:E24"/>
    <mergeCell ref="C28:E28"/>
    <mergeCell ref="C29:E29"/>
    <mergeCell ref="J22:M22"/>
    <mergeCell ref="O24:P24"/>
    <mergeCell ref="J25:M25"/>
    <mergeCell ref="J26:M26"/>
    <mergeCell ref="J29:M29"/>
    <mergeCell ref="J32:M32"/>
    <mergeCell ref="J24:M24"/>
    <mergeCell ref="J31:M31"/>
    <mergeCell ref="Q36:R36"/>
    <mergeCell ref="Q42:R42"/>
    <mergeCell ref="Q43:R43"/>
    <mergeCell ref="Q40:R40"/>
    <mergeCell ref="C56:D56"/>
    <mergeCell ref="F56:G56"/>
    <mergeCell ref="J28:M28"/>
    <mergeCell ref="J30:M30"/>
    <mergeCell ref="C25:E25"/>
    <mergeCell ref="C26:E26"/>
    <mergeCell ref="C30:E30"/>
    <mergeCell ref="J48:K48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J105:N105"/>
    <mergeCell ref="J103:N103"/>
    <mergeCell ref="J106:N106"/>
    <mergeCell ref="J104:N104"/>
    <mergeCell ref="Q50:R50"/>
    <mergeCell ref="Q37:R37"/>
    <mergeCell ref="C104:H104"/>
    <mergeCell ref="J99:N99"/>
    <mergeCell ref="J98:N98"/>
    <mergeCell ref="C55:D55"/>
    <mergeCell ref="F55:G55"/>
    <mergeCell ref="J101:N101"/>
    <mergeCell ref="J102:N102"/>
    <mergeCell ref="F54:G54"/>
    <mergeCell ref="J49:K49"/>
    <mergeCell ref="K53:M53"/>
    <mergeCell ref="J52:P52"/>
    <mergeCell ref="K54:M54"/>
    <mergeCell ref="J93:O93"/>
    <mergeCell ref="J92:O92"/>
    <mergeCell ref="J90:O90"/>
    <mergeCell ref="J91:O91"/>
    <mergeCell ref="J88:O88"/>
    <mergeCell ref="J89:O89"/>
    <mergeCell ref="J94:O94"/>
    <mergeCell ref="J95:O95"/>
    <mergeCell ref="J97:N97"/>
    <mergeCell ref="J96:N96"/>
    <mergeCell ref="J87:O87"/>
    <mergeCell ref="J107:N107"/>
    <mergeCell ref="C122:H122"/>
    <mergeCell ref="J111:N111"/>
    <mergeCell ref="J113:N113"/>
    <mergeCell ref="J112:N112"/>
    <mergeCell ref="J110:N110"/>
    <mergeCell ref="J108:N108"/>
    <mergeCell ref="C109:H109"/>
    <mergeCell ref="C119:H119"/>
    <mergeCell ref="C114:H114"/>
    <mergeCell ref="C113:H113"/>
    <mergeCell ref="J109:N109"/>
    <mergeCell ref="J115:N115"/>
    <mergeCell ref="J114:N114"/>
    <mergeCell ref="C111:H111"/>
    <mergeCell ref="C121:H121"/>
    <mergeCell ref="C115:H115"/>
    <mergeCell ref="C112:H112"/>
    <mergeCell ref="C110:H110"/>
    <mergeCell ref="C108:H108"/>
    <mergeCell ref="C107:H107"/>
    <mergeCell ref="C105:H105"/>
    <mergeCell ref="C106:H106"/>
    <mergeCell ref="J124:N124"/>
    <mergeCell ref="J120:N120"/>
    <mergeCell ref="J116:N116"/>
    <mergeCell ref="J119:N119"/>
    <mergeCell ref="J130:N130"/>
    <mergeCell ref="C127:H127"/>
    <mergeCell ref="C126:H126"/>
    <mergeCell ref="C124:H124"/>
    <mergeCell ref="J125:N125"/>
    <mergeCell ref="J123:N123"/>
    <mergeCell ref="C117:H117"/>
    <mergeCell ref="C116:H116"/>
    <mergeCell ref="C129:H129"/>
    <mergeCell ref="J126:N126"/>
    <mergeCell ref="C120:H120"/>
    <mergeCell ref="J118:N118"/>
    <mergeCell ref="C118:H118"/>
    <mergeCell ref="J121:N121"/>
    <mergeCell ref="C125:H125"/>
    <mergeCell ref="J117:N117"/>
    <mergeCell ref="J122:N122"/>
    <mergeCell ref="C123:H123"/>
    <mergeCell ref="J129:N129"/>
    <mergeCell ref="C130:H130"/>
    <mergeCell ref="C133:H133"/>
    <mergeCell ref="C135:H135"/>
    <mergeCell ref="J131:N131"/>
    <mergeCell ref="J128:N128"/>
    <mergeCell ref="J127:N127"/>
    <mergeCell ref="C128:H128"/>
    <mergeCell ref="J132:N132"/>
    <mergeCell ref="J144:N144"/>
    <mergeCell ref="J140:N140"/>
    <mergeCell ref="J143:N143"/>
    <mergeCell ref="J135:N135"/>
    <mergeCell ref="J134:N134"/>
    <mergeCell ref="J137:N137"/>
    <mergeCell ref="C134:H134"/>
    <mergeCell ref="J139:N139"/>
    <mergeCell ref="J142:N142"/>
    <mergeCell ref="J138:N138"/>
    <mergeCell ref="C139:H139"/>
    <mergeCell ref="J141:N141"/>
    <mergeCell ref="C141:H141"/>
    <mergeCell ref="C142:H142"/>
    <mergeCell ref="C136:H136"/>
    <mergeCell ref="C137:H137"/>
    <mergeCell ref="C140:H140"/>
    <mergeCell ref="C146:H146"/>
    <mergeCell ref="C145:H145"/>
    <mergeCell ref="C147:H147"/>
    <mergeCell ref="J157:N157"/>
    <mergeCell ref="C156:H156"/>
    <mergeCell ref="J151:N151"/>
    <mergeCell ref="C153:H153"/>
    <mergeCell ref="C151:H151"/>
    <mergeCell ref="C150:H150"/>
    <mergeCell ref="C164:H164"/>
    <mergeCell ref="J192:N192"/>
    <mergeCell ref="J172:N172"/>
    <mergeCell ref="J178:N178"/>
    <mergeCell ref="J162:N162"/>
    <mergeCell ref="J184:N184"/>
    <mergeCell ref="J185:N185"/>
    <mergeCell ref="J186:N186"/>
    <mergeCell ref="J187:N187"/>
    <mergeCell ref="J188:N188"/>
    <mergeCell ref="J189:N189"/>
    <mergeCell ref="J176:N176"/>
    <mergeCell ref="J164:N164"/>
    <mergeCell ref="J182:N182"/>
    <mergeCell ref="J179:N179"/>
    <mergeCell ref="J170:N170"/>
    <mergeCell ref="J177:N177"/>
    <mergeCell ref="J181:N181"/>
    <mergeCell ref="J168:N168"/>
    <mergeCell ref="J180:N180"/>
    <mergeCell ref="J191:N191"/>
    <mergeCell ref="J174:N174"/>
    <mergeCell ref="J158:N158"/>
    <mergeCell ref="C191:H191"/>
    <mergeCell ref="J163:N163"/>
    <mergeCell ref="C171:H171"/>
    <mergeCell ref="C169:H169"/>
    <mergeCell ref="C190:H190"/>
    <mergeCell ref="C187:H187"/>
    <mergeCell ref="C183:H183"/>
    <mergeCell ref="C184:H184"/>
    <mergeCell ref="C189:H189"/>
    <mergeCell ref="J175:N175"/>
    <mergeCell ref="C185:H185"/>
    <mergeCell ref="C181:H181"/>
    <mergeCell ref="C168:H168"/>
    <mergeCell ref="C170:H170"/>
    <mergeCell ref="C175:H175"/>
    <mergeCell ref="C174:H174"/>
    <mergeCell ref="C173:H173"/>
    <mergeCell ref="C166:H166"/>
    <mergeCell ref="C180:H180"/>
    <mergeCell ref="J169:N169"/>
    <mergeCell ref="J171:N171"/>
    <mergeCell ref="J190:N190"/>
    <mergeCell ref="J183:N183"/>
    <mergeCell ref="C22:E22"/>
    <mergeCell ref="C186:H186"/>
    <mergeCell ref="C176:H176"/>
    <mergeCell ref="C188:H188"/>
    <mergeCell ref="C177:H177"/>
    <mergeCell ref="C182:H182"/>
    <mergeCell ref="J159:N159"/>
    <mergeCell ref="J154:N154"/>
    <mergeCell ref="C178:H178"/>
    <mergeCell ref="C179:H179"/>
    <mergeCell ref="C167:H167"/>
    <mergeCell ref="C161:H161"/>
    <mergeCell ref="C162:H162"/>
    <mergeCell ref="C165:H165"/>
    <mergeCell ref="J166:N166"/>
    <mergeCell ref="J165:N165"/>
    <mergeCell ref="J173:N173"/>
    <mergeCell ref="C172:H172"/>
    <mergeCell ref="J167:N167"/>
    <mergeCell ref="C163:H163"/>
    <mergeCell ref="J161:N161"/>
    <mergeCell ref="J160:N160"/>
    <mergeCell ref="J156:N156"/>
    <mergeCell ref="C160:H160"/>
    <mergeCell ref="J145:N145"/>
    <mergeCell ref="B4:B7"/>
    <mergeCell ref="J6:K6"/>
    <mergeCell ref="B10:B24"/>
    <mergeCell ref="C63:F63"/>
    <mergeCell ref="J36:L36"/>
    <mergeCell ref="J37:L37"/>
    <mergeCell ref="J38:L38"/>
    <mergeCell ref="C54:D54"/>
    <mergeCell ref="J63:N63"/>
    <mergeCell ref="B60:P60"/>
    <mergeCell ref="J27:M27"/>
    <mergeCell ref="C53:D53"/>
    <mergeCell ref="O53:P53"/>
    <mergeCell ref="O54:P54"/>
    <mergeCell ref="B52:G52"/>
    <mergeCell ref="L50:N50"/>
    <mergeCell ref="C12:E12"/>
    <mergeCell ref="C20:E20"/>
    <mergeCell ref="C34:E34"/>
    <mergeCell ref="C31:E31"/>
    <mergeCell ref="C32:E32"/>
    <mergeCell ref="J33:M33"/>
    <mergeCell ref="J34:M34"/>
    <mergeCell ref="C14:E14"/>
    <mergeCell ref="C132:H132"/>
    <mergeCell ref="C131:H131"/>
    <mergeCell ref="C143:H143"/>
    <mergeCell ref="J133:N133"/>
    <mergeCell ref="C159:H159"/>
    <mergeCell ref="C157:H157"/>
    <mergeCell ref="C158:H158"/>
    <mergeCell ref="C148:H148"/>
    <mergeCell ref="J149:N149"/>
    <mergeCell ref="C154:H154"/>
    <mergeCell ref="C149:H149"/>
    <mergeCell ref="J136:N136"/>
    <mergeCell ref="C144:H144"/>
    <mergeCell ref="C138:H138"/>
    <mergeCell ref="C152:H152"/>
    <mergeCell ref="J155:N155"/>
    <mergeCell ref="C155:H155"/>
    <mergeCell ref="J152:N152"/>
    <mergeCell ref="J150:N150"/>
    <mergeCell ref="J148:N148"/>
    <mergeCell ref="J147:N147"/>
    <mergeCell ref="J146:N146"/>
    <mergeCell ref="J153:N153"/>
    <mergeCell ref="L11:M11"/>
    <mergeCell ref="C11:E11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57:D57"/>
    <mergeCell ref="F57:G57"/>
    <mergeCell ref="C58:D58"/>
    <mergeCell ref="F58:G58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</mergeCells>
  <phoneticPr fontId="38" alignment="center"/>
  <conditionalFormatting sqref="A60:A61 A1:A50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1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75"/>
  <sheetViews>
    <sheetView topLeftCell="R43" zoomScaleNormal="100" workbookViewId="0">
      <selection activeCell="AC46" sqref="AC46"/>
    </sheetView>
  </sheetViews>
  <sheetFormatPr defaultRowHeight="12.75"/>
  <cols>
    <col min="1" max="1" width="20.42578125" customWidth="1"/>
    <col min="2" max="3" width="11" customWidth="1"/>
    <col min="4" max="4" width="11.140625" bestFit="1" customWidth="1"/>
    <col min="5" max="6" width="10.7109375" customWidth="1"/>
    <col min="7" max="8" width="11.140625" bestFit="1" customWidth="1"/>
    <col min="9" max="9" width="11.28515625" customWidth="1"/>
    <col min="10" max="10" width="11.7109375" customWidth="1"/>
    <col min="11" max="11" width="12" customWidth="1"/>
    <col min="12" max="12" width="11.28515625" customWidth="1"/>
    <col min="13" max="13" width="14.28515625" customWidth="1"/>
    <col min="14" max="14" width="13.7109375" customWidth="1"/>
    <col min="15" max="15" width="12.42578125" customWidth="1"/>
    <col min="16" max="16" width="11.7109375" customWidth="1"/>
    <col min="17" max="17" width="11.5703125" customWidth="1"/>
    <col min="18" max="18" width="13.7109375" customWidth="1"/>
    <col min="19" max="19" width="13.140625" customWidth="1"/>
    <col min="20" max="20" width="16" customWidth="1"/>
    <col min="21" max="21" width="13.42578125" bestFit="1" customWidth="1"/>
    <col min="22" max="22" width="14.5703125" customWidth="1"/>
    <col min="23" max="23" width="13.85546875" customWidth="1"/>
    <col min="24" max="24" width="11" customWidth="1"/>
    <col min="25" max="26" width="12" customWidth="1"/>
    <col min="27" max="27" width="13.85546875" customWidth="1"/>
    <col min="28" max="28" width="11.140625" bestFit="1" customWidth="1"/>
    <col min="29" max="29" width="13.85546875" customWidth="1"/>
    <col min="30" max="30" width="11.140625" bestFit="1" customWidth="1"/>
    <col min="31" max="31" width="14.28515625" customWidth="1"/>
  </cols>
  <sheetData>
    <row r="1" spans="1:31" ht="22.5">
      <c r="A1" s="210"/>
      <c r="B1" s="462" t="s">
        <v>90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211"/>
      <c r="Z1" s="211"/>
      <c r="AA1" s="212" t="s">
        <v>24</v>
      </c>
      <c r="AB1" s="463" t="s">
        <v>234</v>
      </c>
      <c r="AC1" s="463"/>
      <c r="AD1" s="463"/>
      <c r="AE1" s="463"/>
    </row>
    <row r="2" spans="1:31" ht="20.25" customHeight="1">
      <c r="A2" s="464" t="s">
        <v>25</v>
      </c>
      <c r="B2" s="467" t="s">
        <v>26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9"/>
      <c r="X2" s="470"/>
      <c r="Y2" s="471"/>
      <c r="Z2" s="471"/>
      <c r="AA2" s="471"/>
      <c r="AB2" s="471"/>
      <c r="AC2" s="471"/>
      <c r="AD2" s="472"/>
      <c r="AE2" s="473" t="s">
        <v>66</v>
      </c>
    </row>
    <row r="3" spans="1:31" ht="15.75" customHeight="1">
      <c r="A3" s="465"/>
      <c r="B3" s="476" t="s">
        <v>20</v>
      </c>
      <c r="C3" s="477"/>
      <c r="D3" s="478"/>
      <c r="E3" s="476" t="s">
        <v>28</v>
      </c>
      <c r="F3" s="477"/>
      <c r="G3" s="477"/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8"/>
      <c r="S3" s="224"/>
      <c r="T3" s="224"/>
      <c r="U3" s="479" t="s">
        <v>62</v>
      </c>
      <c r="V3" s="480"/>
      <c r="W3" s="481"/>
      <c r="X3" s="488" t="s">
        <v>64</v>
      </c>
      <c r="Y3" s="489"/>
      <c r="Z3" s="489"/>
      <c r="AA3" s="490"/>
      <c r="AB3" s="488" t="s">
        <v>65</v>
      </c>
      <c r="AC3" s="489"/>
      <c r="AD3" s="490"/>
      <c r="AE3" s="474"/>
    </row>
    <row r="4" spans="1:31" ht="18.75" customHeight="1">
      <c r="A4" s="465"/>
      <c r="B4" s="464" t="s">
        <v>61</v>
      </c>
      <c r="C4" s="464" t="s">
        <v>2</v>
      </c>
      <c r="D4" s="464" t="s">
        <v>29</v>
      </c>
      <c r="E4" s="476" t="s">
        <v>30</v>
      </c>
      <c r="F4" s="477"/>
      <c r="G4" s="477"/>
      <c r="H4" s="477"/>
      <c r="I4" s="477"/>
      <c r="J4" s="477"/>
      <c r="K4" s="477"/>
      <c r="L4" s="477"/>
      <c r="M4" s="478"/>
      <c r="N4" s="476"/>
      <c r="O4" s="477"/>
      <c r="P4" s="477"/>
      <c r="Q4" s="477"/>
      <c r="R4" s="478"/>
      <c r="S4" s="225"/>
      <c r="T4" s="225"/>
      <c r="U4" s="482"/>
      <c r="V4" s="483"/>
      <c r="W4" s="484"/>
      <c r="X4" s="491" t="s">
        <v>31</v>
      </c>
      <c r="Y4" s="492"/>
      <c r="Z4" s="493"/>
      <c r="AA4" s="497" t="s">
        <v>32</v>
      </c>
      <c r="AB4" s="497" t="s">
        <v>31</v>
      </c>
      <c r="AC4" s="497" t="s">
        <v>84</v>
      </c>
      <c r="AD4" s="497" t="s">
        <v>32</v>
      </c>
      <c r="AE4" s="474"/>
    </row>
    <row r="5" spans="1:31" ht="28.5" customHeight="1">
      <c r="A5" s="465"/>
      <c r="B5" s="465"/>
      <c r="C5" s="465"/>
      <c r="D5" s="465"/>
      <c r="E5" s="476" t="s">
        <v>33</v>
      </c>
      <c r="F5" s="478"/>
      <c r="G5" s="476" t="s">
        <v>34</v>
      </c>
      <c r="H5" s="478"/>
      <c r="I5" s="476" t="s">
        <v>69</v>
      </c>
      <c r="J5" s="477"/>
      <c r="K5" s="478"/>
      <c r="L5" s="226" t="s">
        <v>88</v>
      </c>
      <c r="M5" s="464" t="s">
        <v>35</v>
      </c>
      <c r="N5" s="476"/>
      <c r="O5" s="477"/>
      <c r="P5" s="477"/>
      <c r="Q5" s="478"/>
      <c r="R5" s="227" t="s">
        <v>47</v>
      </c>
      <c r="S5" s="227" t="s">
        <v>67</v>
      </c>
      <c r="T5" s="227" t="s">
        <v>76</v>
      </c>
      <c r="U5" s="485"/>
      <c r="V5" s="486"/>
      <c r="W5" s="487"/>
      <c r="X5" s="494"/>
      <c r="Y5" s="495"/>
      <c r="Z5" s="496"/>
      <c r="AA5" s="498"/>
      <c r="AB5" s="498"/>
      <c r="AC5" s="498"/>
      <c r="AD5" s="498"/>
      <c r="AE5" s="474"/>
    </row>
    <row r="6" spans="1:31" ht="17.25" customHeight="1">
      <c r="A6" s="466"/>
      <c r="B6" s="466"/>
      <c r="C6" s="466"/>
      <c r="D6" s="466"/>
      <c r="E6" s="227" t="s">
        <v>61</v>
      </c>
      <c r="F6" s="228" t="s">
        <v>2</v>
      </c>
      <c r="G6" s="227" t="s">
        <v>61</v>
      </c>
      <c r="H6" s="227" t="s">
        <v>2</v>
      </c>
      <c r="I6" s="227" t="s">
        <v>72</v>
      </c>
      <c r="J6" s="226" t="s">
        <v>68</v>
      </c>
      <c r="K6" s="227" t="s">
        <v>83</v>
      </c>
      <c r="L6" s="227" t="s">
        <v>77</v>
      </c>
      <c r="M6" s="466"/>
      <c r="N6" s="227" t="s">
        <v>36</v>
      </c>
      <c r="O6" s="227" t="s">
        <v>74</v>
      </c>
      <c r="P6" s="227" t="s">
        <v>71</v>
      </c>
      <c r="Q6" s="227" t="s">
        <v>82</v>
      </c>
      <c r="R6" s="227" t="s">
        <v>2</v>
      </c>
      <c r="S6" s="227" t="s">
        <v>2</v>
      </c>
      <c r="T6" s="227" t="s">
        <v>77</v>
      </c>
      <c r="U6" s="227" t="s">
        <v>61</v>
      </c>
      <c r="V6" s="227" t="s">
        <v>2</v>
      </c>
      <c r="W6" s="227" t="s">
        <v>37</v>
      </c>
      <c r="X6" s="229" t="s">
        <v>79</v>
      </c>
      <c r="Y6" s="229" t="s">
        <v>80</v>
      </c>
      <c r="Z6" s="229" t="s">
        <v>150</v>
      </c>
      <c r="AA6" s="499"/>
      <c r="AB6" s="499"/>
      <c r="AC6" s="499"/>
      <c r="AD6" s="499"/>
      <c r="AE6" s="475"/>
    </row>
    <row r="7" spans="1:31" ht="33.75" customHeight="1">
      <c r="A7" s="235">
        <v>46113</v>
      </c>
      <c r="B7" s="236">
        <v>42</v>
      </c>
      <c r="C7" s="236">
        <v>15</v>
      </c>
      <c r="D7" s="237">
        <f t="shared" ref="D7:D11" si="0">B7+C7</f>
        <v>57</v>
      </c>
      <c r="E7" s="238">
        <v>23</v>
      </c>
      <c r="F7" s="238">
        <v>3</v>
      </c>
      <c r="G7" s="238">
        <v>95</v>
      </c>
      <c r="H7" s="238">
        <v>0</v>
      </c>
      <c r="I7" s="238">
        <v>63</v>
      </c>
      <c r="J7" s="239">
        <v>16</v>
      </c>
      <c r="K7" s="239">
        <v>27</v>
      </c>
      <c r="L7" s="239">
        <v>10</v>
      </c>
      <c r="M7" s="240">
        <f>SUM(E7:L7)</f>
        <v>237</v>
      </c>
      <c r="N7" s="241">
        <v>51</v>
      </c>
      <c r="O7" s="241">
        <v>20</v>
      </c>
      <c r="P7" s="241">
        <v>18</v>
      </c>
      <c r="Q7" s="241">
        <v>17</v>
      </c>
      <c r="R7" s="242">
        <v>64</v>
      </c>
      <c r="S7" s="243">
        <v>0</v>
      </c>
      <c r="T7" s="243">
        <v>36</v>
      </c>
      <c r="U7" s="244">
        <f>B7+E7+G7+I7+J7+L7+P7+Q7</f>
        <v>284</v>
      </c>
      <c r="V7" s="245">
        <f>C7+F7+H7+K7+N7+O7</f>
        <v>116</v>
      </c>
      <c r="W7" s="245">
        <f>D7+M7+N7+O7+P7+Q7</f>
        <v>400</v>
      </c>
      <c r="X7" s="246">
        <v>60</v>
      </c>
      <c r="Y7" s="246">
        <v>15</v>
      </c>
      <c r="Z7" s="246">
        <v>5</v>
      </c>
      <c r="AA7" s="247">
        <v>183</v>
      </c>
      <c r="AB7" s="247">
        <v>0</v>
      </c>
      <c r="AC7" s="247">
        <v>0</v>
      </c>
      <c r="AD7" s="247">
        <v>129</v>
      </c>
      <c r="AE7" s="248">
        <f t="shared" ref="AE7" si="1">X7+Y7+AA7+AB7+AD7</f>
        <v>387</v>
      </c>
    </row>
    <row r="8" spans="1:31" ht="33.75" customHeight="1">
      <c r="A8" s="235">
        <v>46143</v>
      </c>
      <c r="B8" s="236">
        <v>30</v>
      </c>
      <c r="C8" s="236">
        <v>14</v>
      </c>
      <c r="D8" s="237">
        <f t="shared" si="0"/>
        <v>44</v>
      </c>
      <c r="E8" s="238">
        <v>0</v>
      </c>
      <c r="F8" s="238">
        <v>0</v>
      </c>
      <c r="G8" s="238">
        <v>73</v>
      </c>
      <c r="H8" s="238">
        <v>0</v>
      </c>
      <c r="I8" s="238">
        <v>71</v>
      </c>
      <c r="J8" s="239">
        <v>7</v>
      </c>
      <c r="K8" s="239">
        <v>35</v>
      </c>
      <c r="L8" s="239">
        <v>11</v>
      </c>
      <c r="M8" s="240">
        <f>SUM(E8:L8)</f>
        <v>197</v>
      </c>
      <c r="N8" s="241">
        <v>59</v>
      </c>
      <c r="O8" s="241">
        <v>57</v>
      </c>
      <c r="P8" s="241">
        <v>31</v>
      </c>
      <c r="Q8" s="241">
        <v>25</v>
      </c>
      <c r="R8" s="242">
        <v>68</v>
      </c>
      <c r="S8" s="243">
        <v>18</v>
      </c>
      <c r="T8" s="243">
        <v>56</v>
      </c>
      <c r="U8" s="244">
        <f>B8+E8+G8+I8+J8+L8+P8+Q8</f>
        <v>248</v>
      </c>
      <c r="V8" s="245">
        <f>C8+F8+H8+K8+N8+O8</f>
        <v>165</v>
      </c>
      <c r="W8" s="245">
        <f>D8+M8+N8+O8+P8+Q8</f>
        <v>413</v>
      </c>
      <c r="X8" s="246">
        <v>72</v>
      </c>
      <c r="Y8" s="246">
        <v>5</v>
      </c>
      <c r="Z8" s="246">
        <v>16</v>
      </c>
      <c r="AA8" s="247">
        <v>164</v>
      </c>
      <c r="AB8" s="247">
        <v>4</v>
      </c>
      <c r="AC8" s="247">
        <v>35</v>
      </c>
      <c r="AD8" s="247">
        <v>106</v>
      </c>
      <c r="AE8" s="248">
        <f>SUM(X8:AD8)</f>
        <v>402</v>
      </c>
    </row>
    <row r="9" spans="1:31" ht="33.75" customHeight="1">
      <c r="A9" s="235">
        <v>46174</v>
      </c>
      <c r="B9" s="236">
        <v>26</v>
      </c>
      <c r="C9" s="236">
        <v>16</v>
      </c>
      <c r="D9" s="237">
        <f t="shared" si="0"/>
        <v>42</v>
      </c>
      <c r="E9" s="238">
        <v>0</v>
      </c>
      <c r="F9" s="238">
        <v>0</v>
      </c>
      <c r="G9" s="238">
        <v>51</v>
      </c>
      <c r="H9" s="238">
        <v>0</v>
      </c>
      <c r="I9" s="238">
        <v>68</v>
      </c>
      <c r="J9" s="239">
        <v>7</v>
      </c>
      <c r="K9" s="239">
        <v>8</v>
      </c>
      <c r="L9" s="239">
        <v>14</v>
      </c>
      <c r="M9" s="240">
        <f>SUM(E9:L9)</f>
        <v>148</v>
      </c>
      <c r="N9" s="241">
        <v>63</v>
      </c>
      <c r="O9" s="241">
        <v>62</v>
      </c>
      <c r="P9" s="241">
        <v>53</v>
      </c>
      <c r="Q9" s="241">
        <v>16</v>
      </c>
      <c r="R9" s="242">
        <v>95</v>
      </c>
      <c r="S9" s="243">
        <v>19</v>
      </c>
      <c r="T9" s="243">
        <v>59</v>
      </c>
      <c r="U9" s="244">
        <f>B9+E9+G9+I9+J9+L9+P9+Q9</f>
        <v>235</v>
      </c>
      <c r="V9" s="245">
        <f>C9+F9+H9+K9+N9+O9</f>
        <v>149</v>
      </c>
      <c r="W9" s="245">
        <f>D9+M9+N9+O9+P9+Q9</f>
        <v>384</v>
      </c>
      <c r="X9" s="246">
        <v>59</v>
      </c>
      <c r="Y9" s="246">
        <v>7</v>
      </c>
      <c r="Z9" s="246">
        <v>5</v>
      </c>
      <c r="AA9" s="247">
        <v>121</v>
      </c>
      <c r="AB9" s="247">
        <v>4</v>
      </c>
      <c r="AC9" s="247">
        <v>10</v>
      </c>
      <c r="AD9" s="247">
        <v>139</v>
      </c>
      <c r="AE9" s="248">
        <f>SUM(X9:AD9)</f>
        <v>345</v>
      </c>
    </row>
    <row r="10" spans="1:31" ht="33.75" customHeight="1">
      <c r="A10" s="235">
        <v>46204</v>
      </c>
      <c r="B10" s="236">
        <v>3</v>
      </c>
      <c r="C10" s="236">
        <v>7</v>
      </c>
      <c r="D10" s="237">
        <f t="shared" si="0"/>
        <v>10</v>
      </c>
      <c r="E10" s="238">
        <v>0</v>
      </c>
      <c r="F10" s="238">
        <v>0</v>
      </c>
      <c r="G10" s="238">
        <v>81</v>
      </c>
      <c r="H10" s="238">
        <v>0</v>
      </c>
      <c r="I10" s="238">
        <v>65</v>
      </c>
      <c r="J10" s="239">
        <v>4</v>
      </c>
      <c r="K10" s="239">
        <v>8</v>
      </c>
      <c r="L10" s="239">
        <v>12</v>
      </c>
      <c r="M10" s="240">
        <f>SUM(E10:L10)</f>
        <v>170</v>
      </c>
      <c r="N10" s="241">
        <v>75</v>
      </c>
      <c r="O10" s="241">
        <v>68</v>
      </c>
      <c r="P10" s="241">
        <v>30</v>
      </c>
      <c r="Q10" s="241">
        <v>34</v>
      </c>
      <c r="R10" s="242">
        <v>98</v>
      </c>
      <c r="S10" s="243">
        <v>33</v>
      </c>
      <c r="T10" s="243">
        <v>57</v>
      </c>
      <c r="U10" s="244">
        <f>B10+E10+G10+I10+J10+L10+P10+Q10</f>
        <v>229</v>
      </c>
      <c r="V10" s="245">
        <f>C10+F10+H10+K10+N10+O10</f>
        <v>158</v>
      </c>
      <c r="W10" s="245">
        <f>D10+M10+N10+O10+P10+Q10</f>
        <v>387</v>
      </c>
      <c r="X10" s="246">
        <v>56</v>
      </c>
      <c r="Y10" s="246">
        <v>4</v>
      </c>
      <c r="Z10" s="246">
        <v>12</v>
      </c>
      <c r="AA10" s="247">
        <v>140</v>
      </c>
      <c r="AB10" s="247">
        <v>9</v>
      </c>
      <c r="AC10" s="247">
        <v>5</v>
      </c>
      <c r="AD10" s="247">
        <v>134</v>
      </c>
      <c r="AE10" s="248">
        <f>SUM(X10:AD10)</f>
        <v>360</v>
      </c>
    </row>
    <row r="11" spans="1:31" ht="33.75" customHeight="1">
      <c r="A11" s="235">
        <v>46235</v>
      </c>
      <c r="B11" s="236">
        <v>0</v>
      </c>
      <c r="C11" s="236">
        <v>3</v>
      </c>
      <c r="D11" s="237">
        <f t="shared" si="0"/>
        <v>3</v>
      </c>
      <c r="E11" s="238">
        <v>0</v>
      </c>
      <c r="F11" s="238">
        <v>2</v>
      </c>
      <c r="G11" s="238">
        <v>79</v>
      </c>
      <c r="H11" s="238">
        <v>0</v>
      </c>
      <c r="I11" s="238">
        <v>58</v>
      </c>
      <c r="J11" s="239">
        <v>2</v>
      </c>
      <c r="K11" s="239">
        <v>34</v>
      </c>
      <c r="L11" s="239">
        <v>25</v>
      </c>
      <c r="M11" s="240">
        <f>SUM(E11:L11)</f>
        <v>200</v>
      </c>
      <c r="N11" s="241">
        <v>58</v>
      </c>
      <c r="O11" s="241">
        <v>71</v>
      </c>
      <c r="P11" s="241">
        <v>34</v>
      </c>
      <c r="Q11" s="241">
        <v>40</v>
      </c>
      <c r="R11" s="242">
        <v>80</v>
      </c>
      <c r="S11" s="243">
        <v>21</v>
      </c>
      <c r="T11" s="243">
        <v>57</v>
      </c>
      <c r="U11" s="244">
        <f>B11+E11+G11+I11+J11+L11+P11+Q11</f>
        <v>238</v>
      </c>
      <c r="V11" s="245">
        <f>C11+F11+H11+K11+N11+O11</f>
        <v>168</v>
      </c>
      <c r="W11" s="245">
        <f>D11+M11+N11+O11+P11+Q11</f>
        <v>406</v>
      </c>
      <c r="X11" s="246">
        <v>60</v>
      </c>
      <c r="Y11" s="246">
        <v>2</v>
      </c>
      <c r="Z11" s="246">
        <v>25</v>
      </c>
      <c r="AA11" s="247">
        <v>135</v>
      </c>
      <c r="AB11" s="247">
        <v>2</v>
      </c>
      <c r="AC11" s="247">
        <v>26</v>
      </c>
      <c r="AD11" s="247">
        <v>114</v>
      </c>
      <c r="AE11" s="248">
        <f>SUM(X11:AD11)</f>
        <v>364</v>
      </c>
    </row>
    <row r="12" spans="1:31" ht="35.25" customHeight="1">
      <c r="A12" s="249" t="s">
        <v>5</v>
      </c>
      <c r="B12" s="249">
        <f>SUM(B7:B11)</f>
        <v>101</v>
      </c>
      <c r="C12" s="249">
        <f t="shared" ref="C12:AE12" si="2">SUM(C7:C11)</f>
        <v>55</v>
      </c>
      <c r="D12" s="249">
        <f t="shared" si="2"/>
        <v>156</v>
      </c>
      <c r="E12" s="249">
        <f t="shared" si="2"/>
        <v>23</v>
      </c>
      <c r="F12" s="249">
        <f t="shared" si="2"/>
        <v>5</v>
      </c>
      <c r="G12" s="249">
        <f t="shared" si="2"/>
        <v>379</v>
      </c>
      <c r="H12" s="249">
        <f t="shared" si="2"/>
        <v>0</v>
      </c>
      <c r="I12" s="249">
        <f t="shared" si="2"/>
        <v>325</v>
      </c>
      <c r="J12" s="249">
        <f t="shared" si="2"/>
        <v>36</v>
      </c>
      <c r="K12" s="249">
        <f t="shared" si="2"/>
        <v>112</v>
      </c>
      <c r="L12" s="249">
        <f t="shared" si="2"/>
        <v>72</v>
      </c>
      <c r="M12" s="249">
        <f t="shared" si="2"/>
        <v>952</v>
      </c>
      <c r="N12" s="249">
        <f t="shared" si="2"/>
        <v>306</v>
      </c>
      <c r="O12" s="249">
        <f t="shared" si="2"/>
        <v>278</v>
      </c>
      <c r="P12" s="249">
        <f t="shared" si="2"/>
        <v>166</v>
      </c>
      <c r="Q12" s="249">
        <f t="shared" si="2"/>
        <v>132</v>
      </c>
      <c r="R12" s="249">
        <f t="shared" si="2"/>
        <v>405</v>
      </c>
      <c r="S12" s="249">
        <f t="shared" si="2"/>
        <v>91</v>
      </c>
      <c r="T12" s="249">
        <f t="shared" si="2"/>
        <v>265</v>
      </c>
      <c r="U12" s="249">
        <f t="shared" si="2"/>
        <v>1234</v>
      </c>
      <c r="V12" s="249">
        <f t="shared" si="2"/>
        <v>756</v>
      </c>
      <c r="W12" s="249">
        <f t="shared" si="2"/>
        <v>1990</v>
      </c>
      <c r="X12" s="249">
        <f t="shared" si="2"/>
        <v>307</v>
      </c>
      <c r="Y12" s="249">
        <f t="shared" si="2"/>
        <v>33</v>
      </c>
      <c r="Z12" s="249">
        <f t="shared" si="2"/>
        <v>63</v>
      </c>
      <c r="AA12" s="249">
        <f t="shared" si="2"/>
        <v>743</v>
      </c>
      <c r="AB12" s="249">
        <f t="shared" si="2"/>
        <v>19</v>
      </c>
      <c r="AC12" s="249">
        <f t="shared" si="2"/>
        <v>76</v>
      </c>
      <c r="AD12" s="249">
        <f t="shared" si="2"/>
        <v>622</v>
      </c>
      <c r="AE12" s="249">
        <f t="shared" si="2"/>
        <v>1858</v>
      </c>
    </row>
    <row r="13" spans="1:31" ht="22.5">
      <c r="A13" s="500" t="s">
        <v>171</v>
      </c>
      <c r="B13" s="500"/>
      <c r="C13" s="500"/>
      <c r="D13" s="500"/>
      <c r="E13" s="500"/>
      <c r="F13" s="500"/>
      <c r="G13" s="500"/>
      <c r="H13" s="500"/>
      <c r="I13" s="500"/>
      <c r="J13" s="500"/>
      <c r="K13" s="500"/>
      <c r="L13" s="500"/>
      <c r="M13" s="500"/>
      <c r="N13" s="500"/>
      <c r="O13" s="500"/>
      <c r="P13" s="500"/>
      <c r="Q13" s="500"/>
      <c r="R13" s="500"/>
      <c r="S13" s="500"/>
      <c r="T13" s="500"/>
      <c r="U13" s="500"/>
      <c r="V13" s="500"/>
      <c r="W13" s="500"/>
      <c r="X13" s="500"/>
      <c r="Y13" s="500"/>
      <c r="Z13" s="500"/>
      <c r="AA13" s="500"/>
      <c r="AB13" s="500"/>
      <c r="AC13" s="500"/>
      <c r="AD13" s="500"/>
      <c r="AE13" s="500"/>
    </row>
    <row r="14" spans="1:31" ht="26.25" customHeight="1">
      <c r="A14" s="501" t="s">
        <v>38</v>
      </c>
      <c r="B14" s="504" t="s">
        <v>26</v>
      </c>
      <c r="C14" s="505"/>
      <c r="D14" s="505"/>
      <c r="E14" s="505"/>
      <c r="F14" s="505"/>
      <c r="G14" s="505"/>
      <c r="H14" s="505"/>
      <c r="I14" s="505"/>
      <c r="J14" s="505"/>
      <c r="K14" s="505"/>
      <c r="L14" s="505"/>
      <c r="M14" s="505"/>
      <c r="N14" s="505"/>
      <c r="O14" s="505"/>
      <c r="P14" s="505"/>
      <c r="Q14" s="505"/>
      <c r="R14" s="505"/>
      <c r="S14" s="505"/>
      <c r="T14" s="505"/>
      <c r="U14" s="505"/>
      <c r="V14" s="505"/>
      <c r="W14" s="506"/>
      <c r="X14" s="504" t="s">
        <v>27</v>
      </c>
      <c r="Y14" s="505"/>
      <c r="Z14" s="505"/>
      <c r="AA14" s="505"/>
      <c r="AB14" s="505"/>
      <c r="AC14" s="505"/>
      <c r="AD14" s="506"/>
      <c r="AE14" s="507" t="s">
        <v>66</v>
      </c>
    </row>
    <row r="15" spans="1:31" ht="24.75" customHeight="1">
      <c r="A15" s="502"/>
      <c r="B15" s="504" t="s">
        <v>20</v>
      </c>
      <c r="C15" s="505"/>
      <c r="D15" s="506"/>
      <c r="E15" s="504" t="s">
        <v>28</v>
      </c>
      <c r="F15" s="505"/>
      <c r="G15" s="505"/>
      <c r="H15" s="505"/>
      <c r="I15" s="505"/>
      <c r="J15" s="505"/>
      <c r="K15" s="505"/>
      <c r="L15" s="505"/>
      <c r="M15" s="505"/>
      <c r="N15" s="505"/>
      <c r="O15" s="505"/>
      <c r="P15" s="505"/>
      <c r="Q15" s="505"/>
      <c r="R15" s="506"/>
      <c r="S15" s="230"/>
      <c r="T15" s="230"/>
      <c r="U15" s="510" t="s">
        <v>63</v>
      </c>
      <c r="V15" s="511"/>
      <c r="W15" s="512"/>
      <c r="X15" s="519" t="s">
        <v>64</v>
      </c>
      <c r="Y15" s="520"/>
      <c r="Z15" s="520"/>
      <c r="AA15" s="521"/>
      <c r="AB15" s="519" t="s">
        <v>65</v>
      </c>
      <c r="AC15" s="520"/>
      <c r="AD15" s="521"/>
      <c r="AE15" s="508"/>
    </row>
    <row r="16" spans="1:31" ht="25.5" customHeight="1">
      <c r="A16" s="502"/>
      <c r="B16" s="501" t="s">
        <v>61</v>
      </c>
      <c r="C16" s="501" t="s">
        <v>2</v>
      </c>
      <c r="D16" s="501" t="s">
        <v>29</v>
      </c>
      <c r="E16" s="522" t="s">
        <v>30</v>
      </c>
      <c r="F16" s="523"/>
      <c r="G16" s="523"/>
      <c r="H16" s="523"/>
      <c r="I16" s="523"/>
      <c r="J16" s="523"/>
      <c r="K16" s="523"/>
      <c r="L16" s="523"/>
      <c r="M16" s="524"/>
      <c r="N16" s="519"/>
      <c r="O16" s="520"/>
      <c r="P16" s="520"/>
      <c r="Q16" s="520"/>
      <c r="R16" s="521"/>
      <c r="S16" s="230"/>
      <c r="T16" s="230"/>
      <c r="U16" s="513"/>
      <c r="V16" s="514"/>
      <c r="W16" s="515"/>
      <c r="X16" s="525" t="s">
        <v>31</v>
      </c>
      <c r="Y16" s="526"/>
      <c r="Z16" s="527"/>
      <c r="AA16" s="501" t="s">
        <v>32</v>
      </c>
      <c r="AB16" s="501" t="s">
        <v>31</v>
      </c>
      <c r="AC16" s="501" t="s">
        <v>84</v>
      </c>
      <c r="AD16" s="501" t="s">
        <v>32</v>
      </c>
      <c r="AE16" s="508"/>
    </row>
    <row r="17" spans="1:31" ht="33.75" customHeight="1">
      <c r="A17" s="502"/>
      <c r="B17" s="502"/>
      <c r="C17" s="502"/>
      <c r="D17" s="502"/>
      <c r="E17" s="519" t="s">
        <v>33</v>
      </c>
      <c r="F17" s="521"/>
      <c r="G17" s="519" t="s">
        <v>34</v>
      </c>
      <c r="H17" s="521"/>
      <c r="I17" s="519" t="s">
        <v>69</v>
      </c>
      <c r="J17" s="520"/>
      <c r="K17" s="521"/>
      <c r="L17" s="231" t="s">
        <v>88</v>
      </c>
      <c r="M17" s="501" t="s">
        <v>35</v>
      </c>
      <c r="N17" s="519" t="s">
        <v>48</v>
      </c>
      <c r="O17" s="520"/>
      <c r="P17" s="520"/>
      <c r="Q17" s="521"/>
      <c r="R17" s="232" t="s">
        <v>47</v>
      </c>
      <c r="S17" s="232" t="s">
        <v>67</v>
      </c>
      <c r="T17" s="232" t="s">
        <v>76</v>
      </c>
      <c r="U17" s="516"/>
      <c r="V17" s="517"/>
      <c r="W17" s="518"/>
      <c r="X17" s="528"/>
      <c r="Y17" s="529"/>
      <c r="Z17" s="530"/>
      <c r="AA17" s="502"/>
      <c r="AB17" s="502"/>
      <c r="AC17" s="502"/>
      <c r="AD17" s="502"/>
      <c r="AE17" s="508"/>
    </row>
    <row r="18" spans="1:31" ht="28.5" customHeight="1">
      <c r="A18" s="503"/>
      <c r="B18" s="503"/>
      <c r="C18" s="503"/>
      <c r="D18" s="503"/>
      <c r="E18" s="232" t="s">
        <v>61</v>
      </c>
      <c r="F18" s="233" t="s">
        <v>2</v>
      </c>
      <c r="G18" s="232" t="s">
        <v>61</v>
      </c>
      <c r="H18" s="232" t="s">
        <v>2</v>
      </c>
      <c r="I18" s="232" t="s">
        <v>73</v>
      </c>
      <c r="J18" s="232" t="s">
        <v>68</v>
      </c>
      <c r="K18" s="232" t="s">
        <v>83</v>
      </c>
      <c r="L18" s="232"/>
      <c r="M18" s="503"/>
      <c r="N18" s="232" t="s">
        <v>151</v>
      </c>
      <c r="O18" s="232" t="s">
        <v>75</v>
      </c>
      <c r="P18" s="232" t="s">
        <v>70</v>
      </c>
      <c r="Q18" s="232" t="s">
        <v>81</v>
      </c>
      <c r="R18" s="232" t="s">
        <v>2</v>
      </c>
      <c r="S18" s="232" t="s">
        <v>2</v>
      </c>
      <c r="T18" s="232" t="s">
        <v>77</v>
      </c>
      <c r="U18" s="232" t="s">
        <v>61</v>
      </c>
      <c r="V18" s="232" t="s">
        <v>2</v>
      </c>
      <c r="W18" s="234" t="s">
        <v>37</v>
      </c>
      <c r="X18" s="232" t="s">
        <v>79</v>
      </c>
      <c r="Y18" s="232" t="s">
        <v>80</v>
      </c>
      <c r="Z18" s="232" t="s">
        <v>150</v>
      </c>
      <c r="AA18" s="503"/>
      <c r="AB18" s="503"/>
      <c r="AC18" s="503"/>
      <c r="AD18" s="503"/>
      <c r="AE18" s="509"/>
    </row>
    <row r="19" spans="1:31" s="214" customFormat="1" ht="54" customHeight="1">
      <c r="A19" s="213" t="s">
        <v>170</v>
      </c>
      <c r="B19" s="215">
        <v>0</v>
      </c>
      <c r="C19" s="215">
        <v>0</v>
      </c>
      <c r="D19" s="216">
        <f t="shared" ref="D19:D45" si="3">B19+C19</f>
        <v>0</v>
      </c>
      <c r="E19" s="215">
        <v>0</v>
      </c>
      <c r="F19" s="215">
        <v>0</v>
      </c>
      <c r="G19" s="217">
        <v>3</v>
      </c>
      <c r="H19" s="217">
        <v>0</v>
      </c>
      <c r="I19" s="217">
        <v>2</v>
      </c>
      <c r="J19" s="217">
        <v>0</v>
      </c>
      <c r="K19" s="217">
        <v>1</v>
      </c>
      <c r="L19" s="217">
        <v>2</v>
      </c>
      <c r="M19" s="218">
        <f t="shared" ref="M19:M45" si="4">SUM(E19:L19)</f>
        <v>8</v>
      </c>
      <c r="N19" s="219">
        <v>3</v>
      </c>
      <c r="O19" s="219">
        <v>4</v>
      </c>
      <c r="P19" s="219">
        <v>1</v>
      </c>
      <c r="Q19" s="219">
        <v>1</v>
      </c>
      <c r="R19" s="219">
        <v>1</v>
      </c>
      <c r="S19" s="219">
        <v>0</v>
      </c>
      <c r="T19" s="219">
        <v>2</v>
      </c>
      <c r="U19" s="220">
        <f t="shared" ref="U19:U45" si="5">B19+E19+G19+I19+J19+L19+P19+Q19</f>
        <v>9</v>
      </c>
      <c r="V19" s="221">
        <f t="shared" ref="V19:V45" si="6">C19+F19+H19+K19+N19+O19</f>
        <v>8</v>
      </c>
      <c r="W19" s="221">
        <f t="shared" ref="W19:W45" si="7">D19+M19+N19+O19+P19+Q19</f>
        <v>17</v>
      </c>
      <c r="X19" s="215">
        <v>1</v>
      </c>
      <c r="Y19" s="222">
        <v>0</v>
      </c>
      <c r="Z19" s="222">
        <v>2</v>
      </c>
      <c r="AA19" s="215">
        <v>5</v>
      </c>
      <c r="AB19" s="215">
        <v>0</v>
      </c>
      <c r="AC19" s="222">
        <v>1</v>
      </c>
      <c r="AD19" s="215">
        <v>4</v>
      </c>
      <c r="AE19" s="223">
        <f t="shared" ref="AE19:AE45" si="8" xml:space="preserve">  SUM(X19:AD19)</f>
        <v>13</v>
      </c>
    </row>
    <row r="20" spans="1:31" s="214" customFormat="1" ht="54" customHeight="1">
      <c r="A20" s="213" t="s">
        <v>173</v>
      </c>
      <c r="B20" s="215">
        <v>0</v>
      </c>
      <c r="C20" s="215">
        <v>0</v>
      </c>
      <c r="D20" s="216">
        <f t="shared" si="3"/>
        <v>0</v>
      </c>
      <c r="E20" s="215">
        <v>0</v>
      </c>
      <c r="F20" s="215">
        <v>0</v>
      </c>
      <c r="G20" s="217">
        <v>5</v>
      </c>
      <c r="H20" s="217">
        <v>0</v>
      </c>
      <c r="I20" s="217">
        <v>3</v>
      </c>
      <c r="J20" s="217">
        <v>0</v>
      </c>
      <c r="K20" s="217">
        <v>1</v>
      </c>
      <c r="L20" s="217">
        <v>0</v>
      </c>
      <c r="M20" s="218">
        <f t="shared" si="4"/>
        <v>9</v>
      </c>
      <c r="N20" s="219">
        <v>2</v>
      </c>
      <c r="O20" s="219">
        <v>3</v>
      </c>
      <c r="P20" s="219">
        <v>1</v>
      </c>
      <c r="Q20" s="219">
        <v>1</v>
      </c>
      <c r="R20" s="219">
        <v>5</v>
      </c>
      <c r="S20" s="219">
        <v>0</v>
      </c>
      <c r="T20" s="219">
        <v>2</v>
      </c>
      <c r="U20" s="220">
        <f t="shared" si="5"/>
        <v>10</v>
      </c>
      <c r="V20" s="221">
        <f t="shared" si="6"/>
        <v>6</v>
      </c>
      <c r="W20" s="221">
        <f t="shared" si="7"/>
        <v>16</v>
      </c>
      <c r="X20" s="215">
        <v>1</v>
      </c>
      <c r="Y20" s="222">
        <v>1</v>
      </c>
      <c r="Z20" s="222">
        <v>0</v>
      </c>
      <c r="AA20" s="215">
        <v>5</v>
      </c>
      <c r="AB20" s="215">
        <v>0</v>
      </c>
      <c r="AC20" s="222">
        <v>3</v>
      </c>
      <c r="AD20" s="215">
        <v>3</v>
      </c>
      <c r="AE20" s="223">
        <f t="shared" si="8"/>
        <v>13</v>
      </c>
    </row>
    <row r="21" spans="1:31" s="214" customFormat="1" ht="54" customHeight="1">
      <c r="A21" s="213" t="s">
        <v>172</v>
      </c>
      <c r="B21" s="215">
        <v>0</v>
      </c>
      <c r="C21" s="215">
        <v>1</v>
      </c>
      <c r="D21" s="216">
        <f t="shared" si="3"/>
        <v>1</v>
      </c>
      <c r="E21" s="215">
        <v>0</v>
      </c>
      <c r="F21" s="215">
        <v>0</v>
      </c>
      <c r="G21" s="217">
        <v>3</v>
      </c>
      <c r="H21" s="217">
        <v>0</v>
      </c>
      <c r="I21" s="217">
        <v>3</v>
      </c>
      <c r="J21" s="217">
        <v>0</v>
      </c>
      <c r="K21" s="217">
        <v>0</v>
      </c>
      <c r="L21" s="217">
        <v>0</v>
      </c>
      <c r="M21" s="218">
        <f t="shared" si="4"/>
        <v>6</v>
      </c>
      <c r="N21" s="219">
        <v>3</v>
      </c>
      <c r="O21" s="219">
        <v>3</v>
      </c>
      <c r="P21" s="219">
        <v>0</v>
      </c>
      <c r="Q21" s="219">
        <v>0</v>
      </c>
      <c r="R21" s="219">
        <v>3</v>
      </c>
      <c r="S21" s="219">
        <v>0</v>
      </c>
      <c r="T21" s="219">
        <v>3</v>
      </c>
      <c r="U21" s="220">
        <f t="shared" si="5"/>
        <v>6</v>
      </c>
      <c r="V21" s="221">
        <f t="shared" si="6"/>
        <v>7</v>
      </c>
      <c r="W21" s="221">
        <f t="shared" si="7"/>
        <v>13</v>
      </c>
      <c r="X21" s="215">
        <v>1</v>
      </c>
      <c r="Y21" s="222">
        <v>0</v>
      </c>
      <c r="Z21" s="222">
        <v>0</v>
      </c>
      <c r="AA21" s="215">
        <v>5</v>
      </c>
      <c r="AB21" s="215">
        <v>0</v>
      </c>
      <c r="AC21" s="222">
        <v>1</v>
      </c>
      <c r="AD21" s="215">
        <v>4</v>
      </c>
      <c r="AE21" s="223">
        <f t="shared" si="8"/>
        <v>11</v>
      </c>
    </row>
    <row r="22" spans="1:31" s="214" customFormat="1" ht="54" customHeight="1">
      <c r="A22" s="213" t="s">
        <v>165</v>
      </c>
      <c r="B22" s="215">
        <v>0</v>
      </c>
      <c r="C22" s="215">
        <v>0</v>
      </c>
      <c r="D22" s="216">
        <f t="shared" si="3"/>
        <v>0</v>
      </c>
      <c r="E22" s="215">
        <v>0</v>
      </c>
      <c r="F22" s="215">
        <v>0</v>
      </c>
      <c r="G22" s="217">
        <v>3</v>
      </c>
      <c r="H22" s="217">
        <v>0</v>
      </c>
      <c r="I22" s="217">
        <v>3</v>
      </c>
      <c r="J22" s="217">
        <v>0</v>
      </c>
      <c r="K22" s="217">
        <v>1</v>
      </c>
      <c r="L22" s="217">
        <v>0</v>
      </c>
      <c r="M22" s="218">
        <f t="shared" si="4"/>
        <v>7</v>
      </c>
      <c r="N22" s="219">
        <v>3</v>
      </c>
      <c r="O22" s="219">
        <v>4</v>
      </c>
      <c r="P22" s="219">
        <v>0</v>
      </c>
      <c r="Q22" s="219">
        <v>0</v>
      </c>
      <c r="R22" s="219">
        <v>4</v>
      </c>
      <c r="S22" s="219">
        <v>0</v>
      </c>
      <c r="T22" s="219">
        <v>0</v>
      </c>
      <c r="U22" s="220">
        <f t="shared" si="5"/>
        <v>6</v>
      </c>
      <c r="V22" s="221">
        <f t="shared" si="6"/>
        <v>8</v>
      </c>
      <c r="W22" s="221">
        <f t="shared" si="7"/>
        <v>14</v>
      </c>
      <c r="X22" s="215">
        <v>5</v>
      </c>
      <c r="Y22" s="222">
        <v>0</v>
      </c>
      <c r="Z22" s="222">
        <v>0</v>
      </c>
      <c r="AA22" s="215">
        <v>4</v>
      </c>
      <c r="AB22" s="215">
        <v>0</v>
      </c>
      <c r="AC22" s="222">
        <v>1</v>
      </c>
      <c r="AD22" s="215">
        <v>3</v>
      </c>
      <c r="AE22" s="223">
        <f t="shared" si="8"/>
        <v>13</v>
      </c>
    </row>
    <row r="23" spans="1:31" s="214" customFormat="1" ht="54" customHeight="1">
      <c r="A23" s="213" t="s">
        <v>176</v>
      </c>
      <c r="B23" s="215">
        <v>1</v>
      </c>
      <c r="C23" s="215">
        <v>0</v>
      </c>
      <c r="D23" s="216">
        <f t="shared" si="3"/>
        <v>1</v>
      </c>
      <c r="E23" s="215">
        <v>0</v>
      </c>
      <c r="F23" s="215">
        <v>0</v>
      </c>
      <c r="G23" s="217">
        <v>2</v>
      </c>
      <c r="H23" s="217">
        <v>0</v>
      </c>
      <c r="I23" s="217">
        <v>2</v>
      </c>
      <c r="J23" s="217">
        <v>0</v>
      </c>
      <c r="K23" s="217">
        <v>1</v>
      </c>
      <c r="L23" s="217">
        <v>0</v>
      </c>
      <c r="M23" s="218">
        <f t="shared" si="4"/>
        <v>5</v>
      </c>
      <c r="N23" s="219">
        <v>2</v>
      </c>
      <c r="O23" s="219">
        <v>2</v>
      </c>
      <c r="P23" s="219">
        <v>1</v>
      </c>
      <c r="Q23" s="219">
        <v>1</v>
      </c>
      <c r="R23" s="219">
        <v>5</v>
      </c>
      <c r="S23" s="219">
        <v>0</v>
      </c>
      <c r="T23" s="219">
        <v>2</v>
      </c>
      <c r="U23" s="220">
        <f t="shared" si="5"/>
        <v>7</v>
      </c>
      <c r="V23" s="221">
        <f t="shared" si="6"/>
        <v>5</v>
      </c>
      <c r="W23" s="221">
        <f t="shared" si="7"/>
        <v>12</v>
      </c>
      <c r="X23" s="215">
        <v>2</v>
      </c>
      <c r="Y23" s="222">
        <v>0</v>
      </c>
      <c r="Z23" s="222">
        <v>0</v>
      </c>
      <c r="AA23" s="215">
        <v>6</v>
      </c>
      <c r="AB23" s="215">
        <v>0</v>
      </c>
      <c r="AC23" s="222">
        <v>2</v>
      </c>
      <c r="AD23" s="215">
        <v>5</v>
      </c>
      <c r="AE23" s="223">
        <f t="shared" si="8"/>
        <v>15</v>
      </c>
    </row>
    <row r="24" spans="1:31" s="214" customFormat="1" ht="54" customHeight="1">
      <c r="A24" s="213" t="s">
        <v>178</v>
      </c>
      <c r="B24" s="215">
        <v>0</v>
      </c>
      <c r="C24" s="215">
        <v>1</v>
      </c>
      <c r="D24" s="216">
        <f t="shared" si="3"/>
        <v>1</v>
      </c>
      <c r="E24" s="215">
        <v>0</v>
      </c>
      <c r="F24" s="215">
        <v>0</v>
      </c>
      <c r="G24" s="217">
        <v>3</v>
      </c>
      <c r="H24" s="217">
        <v>0</v>
      </c>
      <c r="I24" s="217">
        <v>3</v>
      </c>
      <c r="J24" s="217">
        <v>0</v>
      </c>
      <c r="K24" s="217">
        <v>1</v>
      </c>
      <c r="L24" s="217">
        <v>0</v>
      </c>
      <c r="M24" s="218">
        <f t="shared" si="4"/>
        <v>7</v>
      </c>
      <c r="N24" s="219">
        <v>2</v>
      </c>
      <c r="O24" s="219">
        <v>2</v>
      </c>
      <c r="P24" s="219">
        <v>2</v>
      </c>
      <c r="Q24" s="219">
        <v>2</v>
      </c>
      <c r="R24" s="219">
        <v>2</v>
      </c>
      <c r="S24" s="219">
        <v>0</v>
      </c>
      <c r="T24" s="219">
        <v>4</v>
      </c>
      <c r="U24" s="220">
        <f t="shared" si="5"/>
        <v>10</v>
      </c>
      <c r="V24" s="221">
        <f t="shared" si="6"/>
        <v>6</v>
      </c>
      <c r="W24" s="221">
        <f t="shared" si="7"/>
        <v>16</v>
      </c>
      <c r="X24" s="215">
        <v>2</v>
      </c>
      <c r="Y24" s="222">
        <v>0</v>
      </c>
      <c r="Z24" s="222">
        <v>1</v>
      </c>
      <c r="AA24" s="215">
        <v>6</v>
      </c>
      <c r="AB24" s="215">
        <v>0</v>
      </c>
      <c r="AC24" s="222">
        <v>2</v>
      </c>
      <c r="AD24" s="215">
        <v>4</v>
      </c>
      <c r="AE24" s="223">
        <f t="shared" si="8"/>
        <v>15</v>
      </c>
    </row>
    <row r="25" spans="1:31" s="214" customFormat="1" ht="54" customHeight="1">
      <c r="A25" s="213" t="s">
        <v>177</v>
      </c>
      <c r="B25" s="215">
        <v>0</v>
      </c>
      <c r="C25" s="215">
        <v>0</v>
      </c>
      <c r="D25" s="216">
        <f t="shared" si="3"/>
        <v>0</v>
      </c>
      <c r="E25" s="215">
        <v>0</v>
      </c>
      <c r="F25" s="215">
        <v>0</v>
      </c>
      <c r="G25" s="217">
        <v>2</v>
      </c>
      <c r="H25" s="217">
        <v>0</v>
      </c>
      <c r="I25" s="217">
        <v>2</v>
      </c>
      <c r="J25" s="217">
        <v>0</v>
      </c>
      <c r="K25" s="217">
        <v>1</v>
      </c>
      <c r="L25" s="217">
        <v>1</v>
      </c>
      <c r="M25" s="218">
        <f t="shared" si="4"/>
        <v>6</v>
      </c>
      <c r="N25" s="219">
        <v>2</v>
      </c>
      <c r="O25" s="219">
        <v>2</v>
      </c>
      <c r="P25" s="219">
        <v>2</v>
      </c>
      <c r="Q25" s="219">
        <v>1</v>
      </c>
      <c r="R25" s="219">
        <v>0</v>
      </c>
      <c r="S25" s="219">
        <v>0</v>
      </c>
      <c r="T25" s="219">
        <v>4</v>
      </c>
      <c r="U25" s="220">
        <f t="shared" si="5"/>
        <v>8</v>
      </c>
      <c r="V25" s="221">
        <f t="shared" si="6"/>
        <v>5</v>
      </c>
      <c r="W25" s="221">
        <f t="shared" si="7"/>
        <v>13</v>
      </c>
      <c r="X25" s="215">
        <v>3</v>
      </c>
      <c r="Y25" s="222">
        <v>0</v>
      </c>
      <c r="Z25" s="222">
        <v>2</v>
      </c>
      <c r="AA25" s="215">
        <v>4</v>
      </c>
      <c r="AB25" s="215">
        <v>0</v>
      </c>
      <c r="AC25" s="222">
        <v>0</v>
      </c>
      <c r="AD25" s="215">
        <v>4</v>
      </c>
      <c r="AE25" s="223">
        <f t="shared" si="8"/>
        <v>13</v>
      </c>
    </row>
    <row r="26" spans="1:31" s="214" customFormat="1" ht="54" customHeight="1">
      <c r="A26" s="213" t="s">
        <v>179</v>
      </c>
      <c r="B26" s="215">
        <v>0</v>
      </c>
      <c r="C26" s="215">
        <v>0</v>
      </c>
      <c r="D26" s="216">
        <f t="shared" si="3"/>
        <v>0</v>
      </c>
      <c r="E26" s="215">
        <v>0</v>
      </c>
      <c r="F26" s="215">
        <v>0</v>
      </c>
      <c r="G26" s="217">
        <v>2</v>
      </c>
      <c r="H26" s="217">
        <v>0</v>
      </c>
      <c r="I26" s="217">
        <v>2</v>
      </c>
      <c r="J26" s="217">
        <v>0</v>
      </c>
      <c r="K26" s="217">
        <v>2</v>
      </c>
      <c r="L26" s="217">
        <v>1</v>
      </c>
      <c r="M26" s="218">
        <f t="shared" si="4"/>
        <v>7</v>
      </c>
      <c r="N26" s="219">
        <v>1</v>
      </c>
      <c r="O26" s="219">
        <v>2</v>
      </c>
      <c r="P26" s="219">
        <v>1</v>
      </c>
      <c r="Q26" s="219">
        <v>1</v>
      </c>
      <c r="R26" s="219">
        <v>5</v>
      </c>
      <c r="S26" s="219">
        <v>0</v>
      </c>
      <c r="T26" s="219">
        <v>2</v>
      </c>
      <c r="U26" s="220">
        <f t="shared" si="5"/>
        <v>7</v>
      </c>
      <c r="V26" s="221">
        <f t="shared" si="6"/>
        <v>5</v>
      </c>
      <c r="W26" s="221">
        <f t="shared" si="7"/>
        <v>12</v>
      </c>
      <c r="X26" s="215">
        <v>3</v>
      </c>
      <c r="Y26" s="222">
        <v>0</v>
      </c>
      <c r="Z26" s="222">
        <v>0</v>
      </c>
      <c r="AA26" s="215">
        <v>5</v>
      </c>
      <c r="AB26" s="215">
        <v>0</v>
      </c>
      <c r="AC26" s="222">
        <v>2</v>
      </c>
      <c r="AD26" s="215">
        <v>0</v>
      </c>
      <c r="AE26" s="223">
        <f t="shared" si="8"/>
        <v>10</v>
      </c>
    </row>
    <row r="27" spans="1:31" s="214" customFormat="1" ht="54" customHeight="1">
      <c r="A27" s="213" t="s">
        <v>182</v>
      </c>
      <c r="B27" s="215">
        <v>0</v>
      </c>
      <c r="C27" s="215">
        <v>1</v>
      </c>
      <c r="D27" s="216">
        <f t="shared" si="3"/>
        <v>1</v>
      </c>
      <c r="E27" s="215">
        <v>0</v>
      </c>
      <c r="F27" s="215">
        <v>0</v>
      </c>
      <c r="G27" s="217">
        <v>1</v>
      </c>
      <c r="H27" s="217">
        <v>0</v>
      </c>
      <c r="I27" s="217">
        <v>1</v>
      </c>
      <c r="J27" s="217">
        <v>0</v>
      </c>
      <c r="K27" s="217">
        <v>1</v>
      </c>
      <c r="L27" s="217">
        <v>0</v>
      </c>
      <c r="M27" s="218">
        <f t="shared" si="4"/>
        <v>3</v>
      </c>
      <c r="N27" s="219">
        <v>1</v>
      </c>
      <c r="O27" s="219">
        <v>2</v>
      </c>
      <c r="P27" s="219">
        <v>0</v>
      </c>
      <c r="Q27" s="219">
        <v>1</v>
      </c>
      <c r="R27" s="219">
        <v>5</v>
      </c>
      <c r="S27" s="219">
        <v>0</v>
      </c>
      <c r="T27" s="219">
        <v>1</v>
      </c>
      <c r="U27" s="220">
        <f t="shared" si="5"/>
        <v>3</v>
      </c>
      <c r="V27" s="221">
        <f t="shared" si="6"/>
        <v>5</v>
      </c>
      <c r="W27" s="221">
        <f t="shared" si="7"/>
        <v>8</v>
      </c>
      <c r="X27" s="215">
        <v>2</v>
      </c>
      <c r="Y27" s="222">
        <v>0</v>
      </c>
      <c r="Z27" s="222">
        <v>1</v>
      </c>
      <c r="AA27" s="215">
        <v>8</v>
      </c>
      <c r="AB27" s="215">
        <v>0</v>
      </c>
      <c r="AC27" s="222">
        <v>0</v>
      </c>
      <c r="AD27" s="215">
        <v>6</v>
      </c>
      <c r="AE27" s="223">
        <f t="shared" si="8"/>
        <v>17</v>
      </c>
    </row>
    <row r="28" spans="1:31" s="214" customFormat="1" ht="54" customHeight="1">
      <c r="A28" s="213" t="s">
        <v>184</v>
      </c>
      <c r="B28" s="215">
        <v>0</v>
      </c>
      <c r="C28" s="215">
        <v>0</v>
      </c>
      <c r="D28" s="216">
        <f t="shared" si="3"/>
        <v>0</v>
      </c>
      <c r="E28" s="215">
        <v>0</v>
      </c>
      <c r="F28" s="215">
        <v>0</v>
      </c>
      <c r="G28" s="217">
        <v>3</v>
      </c>
      <c r="H28" s="217">
        <v>0</v>
      </c>
      <c r="I28" s="217">
        <v>0</v>
      </c>
      <c r="J28" s="217">
        <v>0</v>
      </c>
      <c r="K28" s="217">
        <v>1</v>
      </c>
      <c r="L28" s="217">
        <v>1</v>
      </c>
      <c r="M28" s="218">
        <f t="shared" si="4"/>
        <v>5</v>
      </c>
      <c r="N28" s="219">
        <v>2</v>
      </c>
      <c r="O28" s="219">
        <v>2</v>
      </c>
      <c r="P28" s="219">
        <v>0</v>
      </c>
      <c r="Q28" s="219">
        <v>2</v>
      </c>
      <c r="R28" s="219">
        <v>5</v>
      </c>
      <c r="S28" s="219">
        <v>0</v>
      </c>
      <c r="T28" s="219">
        <v>4</v>
      </c>
      <c r="U28" s="220">
        <f t="shared" si="5"/>
        <v>6</v>
      </c>
      <c r="V28" s="221">
        <f t="shared" si="6"/>
        <v>5</v>
      </c>
      <c r="W28" s="221">
        <f t="shared" si="7"/>
        <v>11</v>
      </c>
      <c r="X28" s="215">
        <v>5</v>
      </c>
      <c r="Y28" s="222">
        <v>0</v>
      </c>
      <c r="Z28" s="222">
        <v>1</v>
      </c>
      <c r="AA28" s="215">
        <v>1</v>
      </c>
      <c r="AB28" s="215">
        <v>0</v>
      </c>
      <c r="AC28" s="222">
        <v>1</v>
      </c>
      <c r="AD28" s="215">
        <v>7</v>
      </c>
      <c r="AE28" s="223">
        <f t="shared" si="8"/>
        <v>15</v>
      </c>
    </row>
    <row r="29" spans="1:31" s="214" customFormat="1" ht="54" customHeight="1">
      <c r="A29" s="213" t="s">
        <v>183</v>
      </c>
      <c r="B29" s="215">
        <v>1</v>
      </c>
      <c r="C29" s="215">
        <v>0</v>
      </c>
      <c r="D29" s="216">
        <f t="shared" si="3"/>
        <v>1</v>
      </c>
      <c r="E29" s="215">
        <v>0</v>
      </c>
      <c r="F29" s="215">
        <v>0</v>
      </c>
      <c r="G29" s="217">
        <v>1</v>
      </c>
      <c r="H29" s="217">
        <v>0</v>
      </c>
      <c r="I29" s="217">
        <v>0</v>
      </c>
      <c r="J29" s="217">
        <v>0</v>
      </c>
      <c r="K29" s="217">
        <v>1</v>
      </c>
      <c r="L29" s="217">
        <v>0</v>
      </c>
      <c r="M29" s="218">
        <f t="shared" si="4"/>
        <v>2</v>
      </c>
      <c r="N29" s="219">
        <v>1</v>
      </c>
      <c r="O29" s="219">
        <v>3</v>
      </c>
      <c r="P29" s="219">
        <v>1</v>
      </c>
      <c r="Q29" s="219">
        <v>0</v>
      </c>
      <c r="R29" s="219">
        <v>4</v>
      </c>
      <c r="S29" s="219">
        <v>0</v>
      </c>
      <c r="T29" s="219">
        <v>1</v>
      </c>
      <c r="U29" s="220">
        <f t="shared" si="5"/>
        <v>3</v>
      </c>
      <c r="V29" s="221">
        <f t="shared" si="6"/>
        <v>5</v>
      </c>
      <c r="W29" s="221">
        <f t="shared" si="7"/>
        <v>8</v>
      </c>
      <c r="X29" s="215">
        <v>0</v>
      </c>
      <c r="Y29" s="222">
        <v>0</v>
      </c>
      <c r="Z29" s="222">
        <v>1</v>
      </c>
      <c r="AA29" s="215">
        <v>7</v>
      </c>
      <c r="AB29" s="215">
        <v>0</v>
      </c>
      <c r="AC29" s="222">
        <v>0</v>
      </c>
      <c r="AD29" s="215">
        <v>4</v>
      </c>
      <c r="AE29" s="223">
        <f t="shared" si="8"/>
        <v>12</v>
      </c>
    </row>
    <row r="30" spans="1:31" s="214" customFormat="1" ht="54" customHeight="1">
      <c r="A30" s="213" t="s">
        <v>189</v>
      </c>
      <c r="B30" s="215">
        <v>1</v>
      </c>
      <c r="C30" s="215">
        <v>0</v>
      </c>
      <c r="D30" s="216">
        <f t="shared" si="3"/>
        <v>1</v>
      </c>
      <c r="E30" s="215">
        <v>0</v>
      </c>
      <c r="F30" s="215">
        <v>0</v>
      </c>
      <c r="G30" s="217">
        <v>1</v>
      </c>
      <c r="H30" s="217">
        <v>0</v>
      </c>
      <c r="I30" s="217">
        <v>0</v>
      </c>
      <c r="J30" s="217">
        <v>0</v>
      </c>
      <c r="K30" s="217">
        <v>1</v>
      </c>
      <c r="L30" s="217">
        <v>0</v>
      </c>
      <c r="M30" s="218">
        <f t="shared" si="4"/>
        <v>2</v>
      </c>
      <c r="N30" s="219">
        <v>1</v>
      </c>
      <c r="O30" s="219">
        <v>2</v>
      </c>
      <c r="P30" s="219">
        <v>1</v>
      </c>
      <c r="Q30" s="219">
        <v>2</v>
      </c>
      <c r="R30" s="219">
        <v>5</v>
      </c>
      <c r="S30" s="219">
        <v>0</v>
      </c>
      <c r="T30" s="219">
        <v>3</v>
      </c>
      <c r="U30" s="220">
        <f t="shared" si="5"/>
        <v>5</v>
      </c>
      <c r="V30" s="221">
        <f t="shared" si="6"/>
        <v>4</v>
      </c>
      <c r="W30" s="221">
        <f t="shared" si="7"/>
        <v>9</v>
      </c>
      <c r="X30" s="215">
        <v>3</v>
      </c>
      <c r="Y30" s="222">
        <v>1</v>
      </c>
      <c r="Z30" s="222">
        <v>0</v>
      </c>
      <c r="AA30" s="215">
        <v>3</v>
      </c>
      <c r="AB30" s="215">
        <v>0</v>
      </c>
      <c r="AC30" s="222">
        <v>1</v>
      </c>
      <c r="AD30" s="215">
        <v>7</v>
      </c>
      <c r="AE30" s="223">
        <f t="shared" si="8"/>
        <v>15</v>
      </c>
    </row>
    <row r="31" spans="1:31" s="214" customFormat="1" ht="54" customHeight="1">
      <c r="A31" s="213" t="s">
        <v>193</v>
      </c>
      <c r="B31" s="215">
        <v>0</v>
      </c>
      <c r="C31" s="215">
        <v>0</v>
      </c>
      <c r="D31" s="216">
        <f t="shared" si="3"/>
        <v>0</v>
      </c>
      <c r="E31" s="215">
        <v>0</v>
      </c>
      <c r="F31" s="215">
        <v>0</v>
      </c>
      <c r="G31" s="217">
        <v>2</v>
      </c>
      <c r="H31" s="217">
        <v>0</v>
      </c>
      <c r="I31" s="217">
        <v>1</v>
      </c>
      <c r="J31" s="217">
        <v>2</v>
      </c>
      <c r="K31" s="217">
        <v>1</v>
      </c>
      <c r="L31" s="217">
        <v>1</v>
      </c>
      <c r="M31" s="218">
        <f t="shared" si="4"/>
        <v>7</v>
      </c>
      <c r="N31" s="219">
        <v>2</v>
      </c>
      <c r="O31" s="219">
        <v>1</v>
      </c>
      <c r="P31" s="219">
        <v>2</v>
      </c>
      <c r="Q31" s="219">
        <v>1</v>
      </c>
      <c r="R31" s="219">
        <v>5</v>
      </c>
      <c r="S31" s="219">
        <v>0</v>
      </c>
      <c r="T31" s="219">
        <v>3</v>
      </c>
      <c r="U31" s="220">
        <f t="shared" si="5"/>
        <v>9</v>
      </c>
      <c r="V31" s="221">
        <f t="shared" si="6"/>
        <v>4</v>
      </c>
      <c r="W31" s="221">
        <f t="shared" si="7"/>
        <v>13</v>
      </c>
      <c r="X31" s="215">
        <v>1</v>
      </c>
      <c r="Y31" s="222">
        <v>0</v>
      </c>
      <c r="Z31" s="222">
        <v>1</v>
      </c>
      <c r="AA31" s="215">
        <v>8</v>
      </c>
      <c r="AB31" s="215">
        <v>0</v>
      </c>
      <c r="AC31" s="222">
        <v>0</v>
      </c>
      <c r="AD31" s="215">
        <v>6</v>
      </c>
      <c r="AE31" s="223">
        <f t="shared" si="8"/>
        <v>16</v>
      </c>
    </row>
    <row r="32" spans="1:31" s="214" customFormat="1" ht="54" customHeight="1">
      <c r="A32" s="213" t="s">
        <v>192</v>
      </c>
      <c r="B32" s="215">
        <v>0</v>
      </c>
      <c r="C32" s="215">
        <v>0</v>
      </c>
      <c r="D32" s="216">
        <f t="shared" si="3"/>
        <v>0</v>
      </c>
      <c r="E32" s="215">
        <v>0</v>
      </c>
      <c r="F32" s="215">
        <v>0</v>
      </c>
      <c r="G32" s="217">
        <v>3</v>
      </c>
      <c r="H32" s="217">
        <v>0</v>
      </c>
      <c r="I32" s="217">
        <v>3</v>
      </c>
      <c r="J32" s="217">
        <v>0</v>
      </c>
      <c r="K32" s="217">
        <v>1</v>
      </c>
      <c r="L32" s="217">
        <v>2</v>
      </c>
      <c r="M32" s="218">
        <f t="shared" si="4"/>
        <v>9</v>
      </c>
      <c r="N32" s="219">
        <v>2</v>
      </c>
      <c r="O32" s="219">
        <v>2</v>
      </c>
      <c r="P32" s="219">
        <v>0</v>
      </c>
      <c r="Q32" s="219">
        <v>1</v>
      </c>
      <c r="R32" s="219">
        <v>5</v>
      </c>
      <c r="S32" s="219">
        <v>0</v>
      </c>
      <c r="T32" s="219">
        <v>3</v>
      </c>
      <c r="U32" s="220">
        <f t="shared" si="5"/>
        <v>9</v>
      </c>
      <c r="V32" s="221">
        <f t="shared" si="6"/>
        <v>5</v>
      </c>
      <c r="W32" s="221">
        <f t="shared" si="7"/>
        <v>14</v>
      </c>
      <c r="X32" s="215">
        <v>0</v>
      </c>
      <c r="Y32" s="222">
        <v>1</v>
      </c>
      <c r="Z32" s="222">
        <v>1</v>
      </c>
      <c r="AA32" s="215">
        <v>8</v>
      </c>
      <c r="AB32" s="215">
        <v>0</v>
      </c>
      <c r="AC32" s="222">
        <v>1</v>
      </c>
      <c r="AD32" s="215">
        <v>6</v>
      </c>
      <c r="AE32" s="223">
        <f t="shared" si="8"/>
        <v>17</v>
      </c>
    </row>
    <row r="33" spans="1:31" s="214" customFormat="1" ht="54" customHeight="1">
      <c r="A33" s="213" t="s">
        <v>194</v>
      </c>
      <c r="B33" s="215">
        <v>0</v>
      </c>
      <c r="C33" s="215">
        <v>0</v>
      </c>
      <c r="D33" s="216">
        <f t="shared" si="3"/>
        <v>0</v>
      </c>
      <c r="E33" s="215">
        <v>0</v>
      </c>
      <c r="F33" s="215">
        <v>0</v>
      </c>
      <c r="G33" s="217">
        <v>3</v>
      </c>
      <c r="H33" s="217">
        <v>0</v>
      </c>
      <c r="I33" s="217">
        <v>2</v>
      </c>
      <c r="J33" s="217">
        <v>0</v>
      </c>
      <c r="K33" s="217">
        <v>1</v>
      </c>
      <c r="L33" s="217">
        <v>1</v>
      </c>
      <c r="M33" s="218">
        <f t="shared" si="4"/>
        <v>7</v>
      </c>
      <c r="N33" s="219">
        <v>1</v>
      </c>
      <c r="O33" s="219">
        <v>2</v>
      </c>
      <c r="P33" s="219">
        <v>1</v>
      </c>
      <c r="Q33" s="219">
        <v>2</v>
      </c>
      <c r="R33" s="219">
        <v>4</v>
      </c>
      <c r="S33" s="219">
        <v>0</v>
      </c>
      <c r="T33" s="219">
        <v>3</v>
      </c>
      <c r="U33" s="220">
        <f t="shared" si="5"/>
        <v>9</v>
      </c>
      <c r="V33" s="221">
        <f t="shared" si="6"/>
        <v>4</v>
      </c>
      <c r="W33" s="221">
        <f t="shared" si="7"/>
        <v>13</v>
      </c>
      <c r="X33" s="215">
        <v>0</v>
      </c>
      <c r="Y33" s="222">
        <v>0</v>
      </c>
      <c r="Z33" s="222">
        <v>1</v>
      </c>
      <c r="AA33" s="215">
        <v>6</v>
      </c>
      <c r="AB33" s="215">
        <v>0</v>
      </c>
      <c r="AC33" s="222">
        <v>2</v>
      </c>
      <c r="AD33" s="215">
        <v>4</v>
      </c>
      <c r="AE33" s="223">
        <f t="shared" si="8"/>
        <v>13</v>
      </c>
    </row>
    <row r="34" spans="1:31" s="214" customFormat="1" ht="54" customHeight="1">
      <c r="A34" s="213" t="s">
        <v>195</v>
      </c>
      <c r="B34" s="215">
        <v>1</v>
      </c>
      <c r="C34" s="215">
        <v>0</v>
      </c>
      <c r="D34" s="216">
        <f t="shared" si="3"/>
        <v>1</v>
      </c>
      <c r="E34" s="215">
        <v>0</v>
      </c>
      <c r="F34" s="215">
        <v>0</v>
      </c>
      <c r="G34" s="217">
        <v>2</v>
      </c>
      <c r="H34" s="217">
        <v>0</v>
      </c>
      <c r="I34" s="217">
        <v>2</v>
      </c>
      <c r="J34" s="217">
        <v>0</v>
      </c>
      <c r="K34" s="217">
        <v>2</v>
      </c>
      <c r="L34" s="217">
        <v>2</v>
      </c>
      <c r="M34" s="218">
        <f t="shared" si="4"/>
        <v>8</v>
      </c>
      <c r="N34" s="219">
        <v>2</v>
      </c>
      <c r="O34" s="219">
        <v>2</v>
      </c>
      <c r="P34" s="219">
        <v>1</v>
      </c>
      <c r="Q34" s="219">
        <v>2</v>
      </c>
      <c r="R34" s="219">
        <v>6</v>
      </c>
      <c r="S34" s="219">
        <v>0</v>
      </c>
      <c r="T34" s="219">
        <v>3</v>
      </c>
      <c r="U34" s="220">
        <f t="shared" si="5"/>
        <v>10</v>
      </c>
      <c r="V34" s="221">
        <f t="shared" si="6"/>
        <v>6</v>
      </c>
      <c r="W34" s="221">
        <f t="shared" si="7"/>
        <v>16</v>
      </c>
      <c r="X34" s="215">
        <v>0</v>
      </c>
      <c r="Y34" s="222">
        <v>2</v>
      </c>
      <c r="Z34" s="222">
        <v>0</v>
      </c>
      <c r="AA34" s="215">
        <v>7</v>
      </c>
      <c r="AB34" s="215">
        <v>0</v>
      </c>
      <c r="AC34" s="222">
        <v>1</v>
      </c>
      <c r="AD34" s="215">
        <v>4</v>
      </c>
      <c r="AE34" s="223">
        <f t="shared" si="8"/>
        <v>14</v>
      </c>
    </row>
    <row r="35" spans="1:31" s="214" customFormat="1" ht="54" customHeight="1">
      <c r="A35" s="213" t="s">
        <v>203</v>
      </c>
      <c r="B35" s="215">
        <v>0</v>
      </c>
      <c r="C35" s="215">
        <v>0</v>
      </c>
      <c r="D35" s="216">
        <f t="shared" si="3"/>
        <v>0</v>
      </c>
      <c r="E35" s="215">
        <v>0</v>
      </c>
      <c r="F35" s="215">
        <v>0</v>
      </c>
      <c r="G35" s="217">
        <v>2</v>
      </c>
      <c r="H35" s="217">
        <v>0</v>
      </c>
      <c r="I35" s="217">
        <v>2</v>
      </c>
      <c r="J35" s="217">
        <v>0</v>
      </c>
      <c r="K35" s="217">
        <v>2</v>
      </c>
      <c r="L35" s="217">
        <v>1</v>
      </c>
      <c r="M35" s="218">
        <f t="shared" si="4"/>
        <v>7</v>
      </c>
      <c r="N35" s="219">
        <v>1</v>
      </c>
      <c r="O35" s="219">
        <v>1</v>
      </c>
      <c r="P35" s="219">
        <v>2</v>
      </c>
      <c r="Q35" s="219">
        <v>1</v>
      </c>
      <c r="R35" s="219">
        <v>4</v>
      </c>
      <c r="S35" s="219">
        <v>0</v>
      </c>
      <c r="T35" s="219">
        <v>1</v>
      </c>
      <c r="U35" s="220">
        <f t="shared" si="5"/>
        <v>8</v>
      </c>
      <c r="V35" s="221">
        <f t="shared" si="6"/>
        <v>4</v>
      </c>
      <c r="W35" s="221">
        <f t="shared" si="7"/>
        <v>12</v>
      </c>
      <c r="X35" s="215">
        <v>1</v>
      </c>
      <c r="Y35" s="222">
        <v>1</v>
      </c>
      <c r="Z35" s="222">
        <v>0</v>
      </c>
      <c r="AA35" s="215">
        <v>8</v>
      </c>
      <c r="AB35" s="215">
        <v>0</v>
      </c>
      <c r="AC35" s="222">
        <v>0</v>
      </c>
      <c r="AD35" s="215">
        <v>5</v>
      </c>
      <c r="AE35" s="223">
        <f t="shared" si="8"/>
        <v>15</v>
      </c>
    </row>
    <row r="36" spans="1:31" s="214" customFormat="1" ht="54" customHeight="1">
      <c r="A36" s="213" t="s">
        <v>210</v>
      </c>
      <c r="B36" s="215">
        <v>0</v>
      </c>
      <c r="C36" s="215">
        <v>0</v>
      </c>
      <c r="D36" s="216">
        <f t="shared" si="3"/>
        <v>0</v>
      </c>
      <c r="E36" s="215">
        <v>0</v>
      </c>
      <c r="F36" s="215">
        <v>0</v>
      </c>
      <c r="G36" s="217">
        <v>2</v>
      </c>
      <c r="H36" s="217">
        <v>0</v>
      </c>
      <c r="I36" s="217">
        <v>3</v>
      </c>
      <c r="J36" s="217">
        <v>0</v>
      </c>
      <c r="K36" s="217">
        <v>1</v>
      </c>
      <c r="L36" s="217">
        <v>0</v>
      </c>
      <c r="M36" s="218">
        <f t="shared" si="4"/>
        <v>6</v>
      </c>
      <c r="N36" s="219">
        <v>1</v>
      </c>
      <c r="O36" s="219">
        <v>3</v>
      </c>
      <c r="P36" s="219">
        <v>1</v>
      </c>
      <c r="Q36" s="219">
        <v>1</v>
      </c>
      <c r="R36" s="219">
        <v>5</v>
      </c>
      <c r="S36" s="219">
        <v>0</v>
      </c>
      <c r="T36" s="219">
        <v>1</v>
      </c>
      <c r="U36" s="220">
        <f t="shared" si="5"/>
        <v>7</v>
      </c>
      <c r="V36" s="221">
        <f t="shared" si="6"/>
        <v>5</v>
      </c>
      <c r="W36" s="221">
        <f t="shared" si="7"/>
        <v>12</v>
      </c>
      <c r="X36" s="215">
        <v>4</v>
      </c>
      <c r="Y36" s="222">
        <v>0</v>
      </c>
      <c r="Z36" s="222">
        <v>2</v>
      </c>
      <c r="AA36" s="215">
        <v>5</v>
      </c>
      <c r="AB36" s="215">
        <v>0</v>
      </c>
      <c r="AC36" s="222">
        <v>2</v>
      </c>
      <c r="AD36" s="215">
        <v>4</v>
      </c>
      <c r="AE36" s="223">
        <f t="shared" si="8"/>
        <v>17</v>
      </c>
    </row>
    <row r="37" spans="1:31" s="214" customFormat="1" ht="54" customHeight="1">
      <c r="A37" s="213" t="s">
        <v>212</v>
      </c>
      <c r="B37" s="215">
        <v>0</v>
      </c>
      <c r="C37" s="215">
        <v>0</v>
      </c>
      <c r="D37" s="216">
        <f t="shared" si="3"/>
        <v>0</v>
      </c>
      <c r="E37" s="215">
        <v>0</v>
      </c>
      <c r="F37" s="215">
        <v>0</v>
      </c>
      <c r="G37" s="217">
        <v>1</v>
      </c>
      <c r="H37" s="217">
        <v>0</v>
      </c>
      <c r="I37" s="217">
        <v>2</v>
      </c>
      <c r="J37" s="217">
        <v>0</v>
      </c>
      <c r="K37" s="217">
        <v>1</v>
      </c>
      <c r="L37" s="217">
        <v>0</v>
      </c>
      <c r="M37" s="218">
        <f t="shared" si="4"/>
        <v>4</v>
      </c>
      <c r="N37" s="219">
        <v>2</v>
      </c>
      <c r="O37" s="219">
        <v>3</v>
      </c>
      <c r="P37" s="219">
        <v>1</v>
      </c>
      <c r="Q37" s="219">
        <v>3</v>
      </c>
      <c r="R37" s="219">
        <v>4</v>
      </c>
      <c r="S37" s="219">
        <v>0</v>
      </c>
      <c r="T37" s="219">
        <v>1</v>
      </c>
      <c r="U37" s="220">
        <f t="shared" si="5"/>
        <v>7</v>
      </c>
      <c r="V37" s="221">
        <f t="shared" si="6"/>
        <v>6</v>
      </c>
      <c r="W37" s="221">
        <f t="shared" si="7"/>
        <v>13</v>
      </c>
      <c r="X37" s="215">
        <v>3</v>
      </c>
      <c r="Y37" s="222">
        <v>0</v>
      </c>
      <c r="Z37" s="222">
        <v>1</v>
      </c>
      <c r="AA37" s="215">
        <v>3</v>
      </c>
      <c r="AB37" s="215">
        <v>0</v>
      </c>
      <c r="AC37" s="222">
        <v>0</v>
      </c>
      <c r="AD37" s="215">
        <v>6</v>
      </c>
      <c r="AE37" s="223">
        <f t="shared" si="8"/>
        <v>13</v>
      </c>
    </row>
    <row r="38" spans="1:31" s="214" customFormat="1" ht="54" customHeight="1">
      <c r="A38" s="213" t="s">
        <v>216</v>
      </c>
      <c r="B38" s="215">
        <v>0</v>
      </c>
      <c r="C38" s="215">
        <v>0</v>
      </c>
      <c r="D38" s="216">
        <f t="shared" si="3"/>
        <v>0</v>
      </c>
      <c r="E38" s="215">
        <v>0</v>
      </c>
      <c r="F38" s="215">
        <v>0</v>
      </c>
      <c r="G38" s="217">
        <v>2</v>
      </c>
      <c r="H38" s="217">
        <v>0</v>
      </c>
      <c r="I38" s="217">
        <v>3</v>
      </c>
      <c r="J38" s="217">
        <v>0</v>
      </c>
      <c r="K38" s="217">
        <v>2</v>
      </c>
      <c r="L38" s="217">
        <v>1</v>
      </c>
      <c r="M38" s="218">
        <f t="shared" si="4"/>
        <v>8</v>
      </c>
      <c r="N38" s="219">
        <v>3</v>
      </c>
      <c r="O38" s="219">
        <v>2</v>
      </c>
      <c r="P38" s="219">
        <v>2</v>
      </c>
      <c r="Q38" s="219">
        <v>2</v>
      </c>
      <c r="R38" s="219">
        <v>4</v>
      </c>
      <c r="S38" s="219">
        <v>2</v>
      </c>
      <c r="T38" s="219">
        <v>3</v>
      </c>
      <c r="U38" s="220">
        <f t="shared" si="5"/>
        <v>10</v>
      </c>
      <c r="V38" s="221">
        <f t="shared" si="6"/>
        <v>7</v>
      </c>
      <c r="W38" s="221">
        <f t="shared" si="7"/>
        <v>17</v>
      </c>
      <c r="X38" s="215">
        <v>2</v>
      </c>
      <c r="Y38" s="222">
        <v>0</v>
      </c>
      <c r="Z38" s="222">
        <v>1</v>
      </c>
      <c r="AA38" s="215">
        <v>2</v>
      </c>
      <c r="AB38" s="215">
        <v>0</v>
      </c>
      <c r="AC38" s="222">
        <v>2</v>
      </c>
      <c r="AD38" s="215">
        <v>4</v>
      </c>
      <c r="AE38" s="223">
        <f t="shared" si="8"/>
        <v>11</v>
      </c>
    </row>
    <row r="39" spans="1:31" s="214" customFormat="1" ht="54" customHeight="1">
      <c r="A39" s="213" t="s">
        <v>215</v>
      </c>
      <c r="B39" s="215">
        <v>1</v>
      </c>
      <c r="C39" s="215">
        <v>0</v>
      </c>
      <c r="D39" s="216">
        <f t="shared" si="3"/>
        <v>1</v>
      </c>
      <c r="E39" s="215">
        <v>0</v>
      </c>
      <c r="F39" s="215">
        <v>0</v>
      </c>
      <c r="G39" s="217">
        <v>2</v>
      </c>
      <c r="H39" s="217">
        <v>0</v>
      </c>
      <c r="I39" s="217">
        <v>2</v>
      </c>
      <c r="J39" s="217">
        <v>0</v>
      </c>
      <c r="K39" s="217">
        <v>2</v>
      </c>
      <c r="L39" s="217">
        <v>1</v>
      </c>
      <c r="M39" s="218">
        <f t="shared" si="4"/>
        <v>7</v>
      </c>
      <c r="N39" s="219">
        <v>1</v>
      </c>
      <c r="O39" s="219">
        <v>2</v>
      </c>
      <c r="P39" s="219">
        <v>1</v>
      </c>
      <c r="Q39" s="219">
        <v>2</v>
      </c>
      <c r="R39" s="219">
        <v>4</v>
      </c>
      <c r="S39" s="219">
        <v>1</v>
      </c>
      <c r="T39" s="219">
        <v>3</v>
      </c>
      <c r="U39" s="220">
        <f t="shared" si="5"/>
        <v>9</v>
      </c>
      <c r="V39" s="221">
        <f t="shared" si="6"/>
        <v>5</v>
      </c>
      <c r="W39" s="221">
        <f t="shared" si="7"/>
        <v>14</v>
      </c>
      <c r="X39" s="215">
        <v>2</v>
      </c>
      <c r="Y39" s="222">
        <v>0</v>
      </c>
      <c r="Z39" s="222">
        <v>3</v>
      </c>
      <c r="AA39" s="215">
        <v>7</v>
      </c>
      <c r="AB39" s="215">
        <v>0</v>
      </c>
      <c r="AC39" s="222">
        <v>2</v>
      </c>
      <c r="AD39" s="215">
        <v>4</v>
      </c>
      <c r="AE39" s="223">
        <f t="shared" si="8"/>
        <v>18</v>
      </c>
    </row>
    <row r="40" spans="1:31" s="214" customFormat="1" ht="54" customHeight="1">
      <c r="A40" s="213" t="s">
        <v>213</v>
      </c>
      <c r="B40" s="215">
        <v>0</v>
      </c>
      <c r="C40" s="215">
        <v>0</v>
      </c>
      <c r="D40" s="216">
        <f t="shared" si="3"/>
        <v>0</v>
      </c>
      <c r="E40" s="215">
        <v>0</v>
      </c>
      <c r="F40" s="215">
        <v>0</v>
      </c>
      <c r="G40" s="217">
        <v>4</v>
      </c>
      <c r="H40" s="217">
        <v>0</v>
      </c>
      <c r="I40" s="217">
        <v>2</v>
      </c>
      <c r="J40" s="217">
        <v>0</v>
      </c>
      <c r="K40" s="217">
        <v>1</v>
      </c>
      <c r="L40" s="217">
        <v>1</v>
      </c>
      <c r="M40" s="218">
        <f t="shared" si="4"/>
        <v>8</v>
      </c>
      <c r="N40" s="219">
        <v>2</v>
      </c>
      <c r="O40" s="219">
        <v>2</v>
      </c>
      <c r="P40" s="219">
        <v>0</v>
      </c>
      <c r="Q40" s="219">
        <v>1</v>
      </c>
      <c r="R40" s="219">
        <v>4</v>
      </c>
      <c r="S40" s="219">
        <v>4</v>
      </c>
      <c r="T40" s="219">
        <v>2</v>
      </c>
      <c r="U40" s="220">
        <f t="shared" si="5"/>
        <v>8</v>
      </c>
      <c r="V40" s="221">
        <f t="shared" si="6"/>
        <v>5</v>
      </c>
      <c r="W40" s="221">
        <f t="shared" si="7"/>
        <v>13</v>
      </c>
      <c r="X40" s="215">
        <v>2</v>
      </c>
      <c r="Y40" s="222">
        <v>0</v>
      </c>
      <c r="Z40" s="222">
        <v>1</v>
      </c>
      <c r="AA40" s="215">
        <v>5</v>
      </c>
      <c r="AB40" s="215">
        <v>0</v>
      </c>
      <c r="AC40" s="222">
        <v>2</v>
      </c>
      <c r="AD40" s="215">
        <v>5</v>
      </c>
      <c r="AE40" s="223">
        <f t="shared" si="8"/>
        <v>15</v>
      </c>
    </row>
    <row r="41" spans="1:31" s="214" customFormat="1" ht="54" customHeight="1">
      <c r="A41" s="213" t="s">
        <v>222</v>
      </c>
      <c r="B41" s="215">
        <v>0</v>
      </c>
      <c r="C41" s="215">
        <v>0</v>
      </c>
      <c r="D41" s="216">
        <f t="shared" si="3"/>
        <v>0</v>
      </c>
      <c r="E41" s="215">
        <v>0</v>
      </c>
      <c r="F41" s="215">
        <v>0</v>
      </c>
      <c r="G41" s="217">
        <v>3</v>
      </c>
      <c r="H41" s="217">
        <v>0</v>
      </c>
      <c r="I41" s="217">
        <v>3</v>
      </c>
      <c r="J41" s="217">
        <v>0</v>
      </c>
      <c r="K41" s="217">
        <v>2</v>
      </c>
      <c r="L41" s="217">
        <v>2</v>
      </c>
      <c r="M41" s="218">
        <f t="shared" si="4"/>
        <v>10</v>
      </c>
      <c r="N41" s="219">
        <v>1</v>
      </c>
      <c r="O41" s="219">
        <v>2</v>
      </c>
      <c r="P41" s="219">
        <v>1</v>
      </c>
      <c r="Q41" s="219">
        <v>2</v>
      </c>
      <c r="R41" s="219">
        <v>0</v>
      </c>
      <c r="S41" s="219">
        <v>1</v>
      </c>
      <c r="T41" s="219">
        <v>3</v>
      </c>
      <c r="U41" s="220">
        <f t="shared" si="5"/>
        <v>11</v>
      </c>
      <c r="V41" s="221">
        <f t="shared" si="6"/>
        <v>5</v>
      </c>
      <c r="W41" s="221">
        <f t="shared" si="7"/>
        <v>16</v>
      </c>
      <c r="X41" s="215">
        <v>1</v>
      </c>
      <c r="Y41" s="222">
        <v>0</v>
      </c>
      <c r="Z41" s="222">
        <v>2</v>
      </c>
      <c r="AA41" s="215">
        <v>5</v>
      </c>
      <c r="AB41" s="215">
        <v>0</v>
      </c>
      <c r="AC41" s="222">
        <v>1</v>
      </c>
      <c r="AD41" s="215">
        <v>4</v>
      </c>
      <c r="AE41" s="223">
        <f t="shared" si="8"/>
        <v>13</v>
      </c>
    </row>
    <row r="42" spans="1:31" s="214" customFormat="1" ht="54" customHeight="1">
      <c r="A42" s="213" t="s">
        <v>226</v>
      </c>
      <c r="B42" s="215">
        <v>0</v>
      </c>
      <c r="C42" s="215">
        <v>0</v>
      </c>
      <c r="D42" s="216">
        <f t="shared" si="3"/>
        <v>0</v>
      </c>
      <c r="E42" s="215">
        <v>0</v>
      </c>
      <c r="F42" s="215">
        <v>0</v>
      </c>
      <c r="G42" s="217">
        <v>5</v>
      </c>
      <c r="H42" s="217">
        <v>0</v>
      </c>
      <c r="I42" s="217">
        <v>3</v>
      </c>
      <c r="J42" s="217">
        <v>0</v>
      </c>
      <c r="K42" s="217">
        <v>1</v>
      </c>
      <c r="L42" s="217">
        <v>0</v>
      </c>
      <c r="M42" s="218">
        <f t="shared" si="4"/>
        <v>9</v>
      </c>
      <c r="N42" s="219">
        <v>1</v>
      </c>
      <c r="O42" s="219">
        <v>2</v>
      </c>
      <c r="P42" s="219">
        <v>1</v>
      </c>
      <c r="Q42" s="219">
        <v>3</v>
      </c>
      <c r="R42" s="219">
        <v>0</v>
      </c>
      <c r="S42" s="219">
        <v>2</v>
      </c>
      <c r="T42" s="219">
        <v>2</v>
      </c>
      <c r="U42" s="220">
        <f t="shared" si="5"/>
        <v>12</v>
      </c>
      <c r="V42" s="221">
        <f t="shared" si="6"/>
        <v>4</v>
      </c>
      <c r="W42" s="221">
        <f t="shared" si="7"/>
        <v>16</v>
      </c>
      <c r="X42" s="215">
        <v>2</v>
      </c>
      <c r="Y42" s="222">
        <v>3</v>
      </c>
      <c r="Z42" s="222">
        <v>0</v>
      </c>
      <c r="AA42" s="215">
        <v>4</v>
      </c>
      <c r="AB42" s="215">
        <v>0</v>
      </c>
      <c r="AC42" s="222">
        <v>0</v>
      </c>
      <c r="AD42" s="215">
        <v>6</v>
      </c>
      <c r="AE42" s="223">
        <f t="shared" si="8"/>
        <v>15</v>
      </c>
    </row>
    <row r="43" spans="1:31" s="214" customFormat="1" ht="54" customHeight="1">
      <c r="A43" s="213" t="s">
        <v>223</v>
      </c>
      <c r="B43" s="215">
        <v>0</v>
      </c>
      <c r="C43" s="215">
        <v>0</v>
      </c>
      <c r="D43" s="216">
        <f t="shared" si="3"/>
        <v>0</v>
      </c>
      <c r="E43" s="215">
        <v>0</v>
      </c>
      <c r="F43" s="215">
        <v>0</v>
      </c>
      <c r="G43" s="217">
        <v>4</v>
      </c>
      <c r="H43" s="217">
        <v>0</v>
      </c>
      <c r="I43" s="217">
        <v>2</v>
      </c>
      <c r="J43" s="217">
        <v>0</v>
      </c>
      <c r="K43" s="217">
        <v>1</v>
      </c>
      <c r="L43" s="217">
        <v>1</v>
      </c>
      <c r="M43" s="218">
        <f t="shared" si="4"/>
        <v>8</v>
      </c>
      <c r="N43" s="219">
        <v>2</v>
      </c>
      <c r="O43" s="219">
        <v>2</v>
      </c>
      <c r="P43" s="219">
        <v>2</v>
      </c>
      <c r="Q43" s="219">
        <v>1</v>
      </c>
      <c r="R43" s="219">
        <v>1</v>
      </c>
      <c r="S43" s="219">
        <v>2</v>
      </c>
      <c r="T43" s="219">
        <v>1</v>
      </c>
      <c r="U43" s="220">
        <f t="shared" si="5"/>
        <v>10</v>
      </c>
      <c r="V43" s="221">
        <f t="shared" si="6"/>
        <v>5</v>
      </c>
      <c r="W43" s="221">
        <f t="shared" si="7"/>
        <v>15</v>
      </c>
      <c r="X43" s="215">
        <v>0</v>
      </c>
      <c r="Y43" s="222">
        <v>0</v>
      </c>
      <c r="Z43" s="222">
        <v>3</v>
      </c>
      <c r="AA43" s="215">
        <v>5</v>
      </c>
      <c r="AB43" s="215">
        <v>0</v>
      </c>
      <c r="AC43" s="222">
        <v>0</v>
      </c>
      <c r="AD43" s="215">
        <v>4</v>
      </c>
      <c r="AE43" s="223">
        <f t="shared" si="8"/>
        <v>12</v>
      </c>
    </row>
    <row r="44" spans="1:31" s="214" customFormat="1" ht="54" customHeight="1">
      <c r="A44" s="213" t="s">
        <v>234</v>
      </c>
      <c r="B44" s="215">
        <v>0</v>
      </c>
      <c r="C44" s="215">
        <v>0</v>
      </c>
      <c r="D44" s="216">
        <f t="shared" si="3"/>
        <v>0</v>
      </c>
      <c r="E44" s="215">
        <v>0</v>
      </c>
      <c r="F44" s="215">
        <v>0</v>
      </c>
      <c r="G44" s="217">
        <v>4</v>
      </c>
      <c r="H44" s="217">
        <v>0</v>
      </c>
      <c r="I44" s="217">
        <v>2</v>
      </c>
      <c r="J44" s="217">
        <v>0</v>
      </c>
      <c r="K44" s="217">
        <v>2</v>
      </c>
      <c r="L44" s="217">
        <v>0</v>
      </c>
      <c r="M44" s="218">
        <f t="shared" si="4"/>
        <v>8</v>
      </c>
      <c r="N44" s="219">
        <v>0</v>
      </c>
      <c r="O44" s="219">
        <v>1</v>
      </c>
      <c r="P44" s="219">
        <v>0</v>
      </c>
      <c r="Q44" s="219">
        <v>0</v>
      </c>
      <c r="R44" s="219">
        <v>5</v>
      </c>
      <c r="S44" s="219">
        <v>3</v>
      </c>
      <c r="T44" s="219">
        <v>0</v>
      </c>
      <c r="U44" s="220">
        <f t="shared" si="5"/>
        <v>6</v>
      </c>
      <c r="V44" s="221">
        <f t="shared" si="6"/>
        <v>3</v>
      </c>
      <c r="W44" s="221">
        <f t="shared" si="7"/>
        <v>9</v>
      </c>
      <c r="X44" s="215">
        <v>6</v>
      </c>
      <c r="Y44" s="222">
        <v>0</v>
      </c>
      <c r="Z44" s="222">
        <v>1</v>
      </c>
      <c r="AA44" s="215">
        <v>3</v>
      </c>
      <c r="AB44" s="215">
        <v>0</v>
      </c>
      <c r="AC44" s="222">
        <v>1</v>
      </c>
      <c r="AD44" s="215">
        <v>4</v>
      </c>
      <c r="AE44" s="223">
        <f t="shared" si="8"/>
        <v>15</v>
      </c>
    </row>
    <row r="45" spans="1:31" s="214" customFormat="1" ht="54" customHeight="1">
      <c r="A45" s="213" t="s">
        <v>250</v>
      </c>
      <c r="B45" s="215">
        <v>0</v>
      </c>
      <c r="C45" s="215">
        <v>0</v>
      </c>
      <c r="D45" s="216">
        <f t="shared" si="3"/>
        <v>0</v>
      </c>
      <c r="E45" s="215">
        <v>0</v>
      </c>
      <c r="F45" s="215">
        <v>0</v>
      </c>
      <c r="G45" s="217">
        <v>2</v>
      </c>
      <c r="H45" s="217">
        <v>0</v>
      </c>
      <c r="I45" s="217">
        <v>2</v>
      </c>
      <c r="J45" s="217">
        <v>0</v>
      </c>
      <c r="K45" s="217">
        <v>2</v>
      </c>
      <c r="L45" s="217">
        <v>1</v>
      </c>
      <c r="M45" s="218">
        <f t="shared" si="4"/>
        <v>7</v>
      </c>
      <c r="N45" s="219">
        <v>2</v>
      </c>
      <c r="O45" s="219">
        <v>1</v>
      </c>
      <c r="P45" s="219">
        <v>1</v>
      </c>
      <c r="Q45" s="219">
        <v>1</v>
      </c>
      <c r="R45" s="219">
        <v>4</v>
      </c>
      <c r="S45" s="219">
        <v>1</v>
      </c>
      <c r="T45" s="219">
        <v>0</v>
      </c>
      <c r="U45" s="220">
        <f t="shared" si="5"/>
        <v>7</v>
      </c>
      <c r="V45" s="221">
        <f t="shared" si="6"/>
        <v>5</v>
      </c>
      <c r="W45" s="221">
        <f t="shared" si="7"/>
        <v>12</v>
      </c>
      <c r="X45" s="215">
        <v>3</v>
      </c>
      <c r="Y45" s="222">
        <v>0</v>
      </c>
      <c r="Z45" s="222">
        <v>1</v>
      </c>
      <c r="AA45" s="215">
        <v>5</v>
      </c>
      <c r="AB45" s="215">
        <v>0</v>
      </c>
      <c r="AC45" s="222">
        <v>3</v>
      </c>
      <c r="AD45" s="215">
        <v>4</v>
      </c>
      <c r="AE45" s="223">
        <f t="shared" si="8"/>
        <v>16</v>
      </c>
    </row>
    <row r="46" spans="1:31" ht="56.25" customHeight="1">
      <c r="A46" s="259" t="s">
        <v>5</v>
      </c>
      <c r="B46" s="260">
        <f>SUM(  B19:B45)</f>
        <v>5</v>
      </c>
      <c r="C46" s="260">
        <f t="shared" ref="C46:Y46" si="9">SUM(  C19:C45)</f>
        <v>3</v>
      </c>
      <c r="D46" s="260">
        <f t="shared" si="9"/>
        <v>8</v>
      </c>
      <c r="E46" s="260">
        <f t="shared" si="9"/>
        <v>0</v>
      </c>
      <c r="F46" s="260">
        <f t="shared" si="9"/>
        <v>0</v>
      </c>
      <c r="G46" s="260">
        <f t="shared" si="9"/>
        <v>70</v>
      </c>
      <c r="H46" s="260">
        <f t="shared" si="9"/>
        <v>0</v>
      </c>
      <c r="I46" s="260">
        <f t="shared" si="9"/>
        <v>55</v>
      </c>
      <c r="J46" s="260">
        <f t="shared" si="9"/>
        <v>2</v>
      </c>
      <c r="K46" s="260">
        <f t="shared" si="9"/>
        <v>34</v>
      </c>
      <c r="L46" s="260">
        <f t="shared" si="9"/>
        <v>19</v>
      </c>
      <c r="M46" s="260">
        <f t="shared" si="9"/>
        <v>180</v>
      </c>
      <c r="N46" s="260">
        <f t="shared" si="9"/>
        <v>46</v>
      </c>
      <c r="O46" s="260">
        <f t="shared" si="9"/>
        <v>59</v>
      </c>
      <c r="P46" s="260">
        <f t="shared" si="9"/>
        <v>26</v>
      </c>
      <c r="Q46" s="260">
        <f t="shared" si="9"/>
        <v>35</v>
      </c>
      <c r="R46" s="260">
        <f t="shared" si="9"/>
        <v>99</v>
      </c>
      <c r="S46" s="260">
        <f t="shared" si="9"/>
        <v>16</v>
      </c>
      <c r="T46" s="260">
        <f t="shared" si="9"/>
        <v>57</v>
      </c>
      <c r="U46" s="260">
        <f t="shared" si="9"/>
        <v>212</v>
      </c>
      <c r="V46" s="260">
        <f t="shared" si="9"/>
        <v>142</v>
      </c>
      <c r="W46" s="260">
        <f t="shared" si="9"/>
        <v>354</v>
      </c>
      <c r="X46" s="260">
        <f t="shared" si="9"/>
        <v>55</v>
      </c>
      <c r="Y46" s="260">
        <f t="shared" si="9"/>
        <v>9</v>
      </c>
      <c r="Z46" s="260">
        <f t="shared" ref="Z46" si="10">SUM(  Z19:Z45)</f>
        <v>26</v>
      </c>
      <c r="AA46" s="260">
        <f t="shared" ref="AA46" si="11">SUM(  AA19:AA45)</f>
        <v>140</v>
      </c>
      <c r="AB46" s="260">
        <f t="shared" ref="AB46" si="12">SUM(  AB19:AB45)</f>
        <v>0</v>
      </c>
      <c r="AC46" s="260">
        <f t="shared" ref="AC46" si="13">SUM(  AC19:AC45)</f>
        <v>31</v>
      </c>
      <c r="AD46" s="260">
        <f t="shared" ref="AD46" si="14">SUM(  AD19:AD45)</f>
        <v>121</v>
      </c>
      <c r="AE46" s="260">
        <f t="shared" ref="AE46" si="15">SUM(  AE19:AE45)</f>
        <v>382</v>
      </c>
    </row>
    <row r="47" spans="1:31" ht="69" customHeight="1">
      <c r="A47" s="261" t="s">
        <v>39</v>
      </c>
      <c r="B47" s="262">
        <f>B46/27</f>
        <v>0.18518518518518517</v>
      </c>
      <c r="C47" s="262">
        <f t="shared" ref="C47:AE47" si="16">C46/27</f>
        <v>0.1111111111111111</v>
      </c>
      <c r="D47" s="262">
        <f t="shared" si="16"/>
        <v>0.29629629629629628</v>
      </c>
      <c r="E47" s="262">
        <f t="shared" si="16"/>
        <v>0</v>
      </c>
      <c r="F47" s="262">
        <f t="shared" si="16"/>
        <v>0</v>
      </c>
      <c r="G47" s="262">
        <f t="shared" si="16"/>
        <v>2.5925925925925926</v>
      </c>
      <c r="H47" s="262">
        <f t="shared" si="16"/>
        <v>0</v>
      </c>
      <c r="I47" s="262">
        <f t="shared" si="16"/>
        <v>2.0370370370370372</v>
      </c>
      <c r="J47" s="262">
        <f t="shared" si="16"/>
        <v>7.407407407407407E-2</v>
      </c>
      <c r="K47" s="262">
        <f t="shared" si="16"/>
        <v>1.2592592592592593</v>
      </c>
      <c r="L47" s="262">
        <f t="shared" si="16"/>
        <v>0.70370370370370372</v>
      </c>
      <c r="M47" s="262">
        <f t="shared" si="16"/>
        <v>6.666666666666667</v>
      </c>
      <c r="N47" s="262">
        <f t="shared" si="16"/>
        <v>1.7037037037037037</v>
      </c>
      <c r="O47" s="262">
        <f t="shared" si="16"/>
        <v>2.1851851851851851</v>
      </c>
      <c r="P47" s="262">
        <f t="shared" si="16"/>
        <v>0.96296296296296291</v>
      </c>
      <c r="Q47" s="262">
        <f t="shared" si="16"/>
        <v>1.2962962962962963</v>
      </c>
      <c r="R47" s="262">
        <f t="shared" si="16"/>
        <v>3.6666666666666665</v>
      </c>
      <c r="S47" s="262">
        <f t="shared" si="16"/>
        <v>0.59259259259259256</v>
      </c>
      <c r="T47" s="262">
        <f t="shared" si="16"/>
        <v>2.1111111111111112</v>
      </c>
      <c r="U47" s="262">
        <f t="shared" si="16"/>
        <v>7.8518518518518521</v>
      </c>
      <c r="V47" s="262">
        <f t="shared" si="16"/>
        <v>5.2592592592592595</v>
      </c>
      <c r="W47" s="262">
        <f t="shared" si="16"/>
        <v>13.111111111111111</v>
      </c>
      <c r="X47" s="262">
        <f t="shared" si="16"/>
        <v>2.0370370370370372</v>
      </c>
      <c r="Y47" s="262">
        <f t="shared" si="16"/>
        <v>0.33333333333333331</v>
      </c>
      <c r="Z47" s="262">
        <f t="shared" si="16"/>
        <v>0.96296296296296291</v>
      </c>
      <c r="AA47" s="262">
        <f t="shared" si="16"/>
        <v>5.1851851851851851</v>
      </c>
      <c r="AB47" s="262">
        <f t="shared" si="16"/>
        <v>0</v>
      </c>
      <c r="AC47" s="262">
        <f t="shared" si="16"/>
        <v>1.1481481481481481</v>
      </c>
      <c r="AD47" s="262">
        <f t="shared" si="16"/>
        <v>4.4814814814814818</v>
      </c>
      <c r="AE47" s="262">
        <f t="shared" si="16"/>
        <v>14.148148148148149</v>
      </c>
    </row>
    <row r="48" spans="1:31" ht="48.75" customHeight="1">
      <c r="A48" s="184" t="s">
        <v>54</v>
      </c>
      <c r="B48" s="25">
        <v>15</v>
      </c>
      <c r="C48" s="25">
        <v>15</v>
      </c>
      <c r="D48" s="28">
        <f>B48+C48</f>
        <v>30</v>
      </c>
      <c r="E48" s="29" t="s">
        <v>158</v>
      </c>
      <c r="F48" s="29"/>
      <c r="G48" s="29" t="s">
        <v>167</v>
      </c>
      <c r="H48" s="29"/>
      <c r="I48" s="29" t="s">
        <v>251</v>
      </c>
      <c r="J48" s="29" t="s">
        <v>168</v>
      </c>
      <c r="K48" s="29" t="s">
        <v>180</v>
      </c>
      <c r="L48" s="29" t="s">
        <v>197</v>
      </c>
      <c r="M48" s="26"/>
      <c r="N48" s="29" t="s">
        <v>169</v>
      </c>
      <c r="O48" s="29" t="s">
        <v>169</v>
      </c>
      <c r="P48" s="29" t="s">
        <v>167</v>
      </c>
      <c r="Q48" s="29" t="s">
        <v>217</v>
      </c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spans="1:31" ht="42.75" customHeight="1">
      <c r="A49" s="184" t="s">
        <v>55</v>
      </c>
      <c r="B49" s="30"/>
      <c r="C49" s="30"/>
      <c r="D49" s="27"/>
      <c r="E49" s="29" t="s">
        <v>158</v>
      </c>
      <c r="F49" s="31"/>
      <c r="G49" s="29" t="s">
        <v>180</v>
      </c>
      <c r="H49" s="29"/>
      <c r="I49" s="29" t="s">
        <v>230</v>
      </c>
      <c r="J49" s="32">
        <v>10</v>
      </c>
      <c r="K49" s="32">
        <v>60</v>
      </c>
      <c r="L49" s="32">
        <v>15</v>
      </c>
      <c r="M49" s="33"/>
      <c r="N49" s="29" t="s">
        <v>169</v>
      </c>
      <c r="O49" s="29" t="s">
        <v>169</v>
      </c>
      <c r="P49" s="29" t="s">
        <v>167</v>
      </c>
      <c r="Q49" s="29" t="s">
        <v>217</v>
      </c>
      <c r="R49" s="31"/>
      <c r="S49" s="31"/>
      <c r="T49" s="31"/>
      <c r="U49" s="31"/>
      <c r="V49" s="31"/>
      <c r="W49" s="31"/>
      <c r="X49" s="34"/>
      <c r="Y49" s="34"/>
      <c r="Z49" s="34"/>
      <c r="AA49" s="34"/>
      <c r="AB49" s="34"/>
      <c r="AC49" s="34"/>
      <c r="AD49" s="34"/>
      <c r="AE49" s="34"/>
    </row>
    <row r="50" spans="1:31" ht="56.25" customHeight="1">
      <c r="A50" s="185" t="s">
        <v>53</v>
      </c>
      <c r="B50" s="169">
        <f t="shared" ref="B50:T50" si="17">B48/30</f>
        <v>0.5</v>
      </c>
      <c r="C50" s="169">
        <f t="shared" si="17"/>
        <v>0.5</v>
      </c>
      <c r="D50" s="169">
        <f t="shared" si="17"/>
        <v>1</v>
      </c>
      <c r="E50" s="169">
        <f t="shared" si="17"/>
        <v>0.16666666666666666</v>
      </c>
      <c r="F50" s="169">
        <f t="shared" si="17"/>
        <v>0</v>
      </c>
      <c r="G50" s="169">
        <f t="shared" si="17"/>
        <v>1.6666666666666667</v>
      </c>
      <c r="H50" s="169">
        <f t="shared" si="17"/>
        <v>0</v>
      </c>
      <c r="I50" s="169">
        <f t="shared" si="17"/>
        <v>1.5666666666666667</v>
      </c>
      <c r="J50" s="169">
        <f t="shared" si="17"/>
        <v>0.33333333333333331</v>
      </c>
      <c r="K50" s="169">
        <f t="shared" si="17"/>
        <v>2</v>
      </c>
      <c r="L50" s="169">
        <f t="shared" si="17"/>
        <v>0.5</v>
      </c>
      <c r="M50" s="169">
        <f t="shared" si="17"/>
        <v>0</v>
      </c>
      <c r="N50" s="169">
        <f t="shared" si="17"/>
        <v>5.333333333333333</v>
      </c>
      <c r="O50" s="169">
        <f t="shared" si="17"/>
        <v>5.333333333333333</v>
      </c>
      <c r="P50" s="169">
        <f t="shared" si="17"/>
        <v>1.6666666666666667</v>
      </c>
      <c r="Q50" s="169">
        <f t="shared" si="17"/>
        <v>2.6666666666666665</v>
      </c>
      <c r="R50" s="169">
        <f t="shared" si="17"/>
        <v>0</v>
      </c>
      <c r="S50" s="169">
        <f t="shared" si="17"/>
        <v>0</v>
      </c>
      <c r="T50" s="169">
        <f t="shared" si="17"/>
        <v>0</v>
      </c>
      <c r="U50" s="169"/>
      <c r="V50" s="169"/>
      <c r="W50" s="169"/>
      <c r="X50" s="186"/>
      <c r="Y50" s="186"/>
      <c r="Z50" s="186"/>
      <c r="AA50" s="186"/>
      <c r="AB50" s="186"/>
      <c r="AC50" s="186"/>
      <c r="AD50" s="186"/>
      <c r="AE50" s="187"/>
    </row>
    <row r="51" spans="1:31" ht="23.25">
      <c r="A51" s="188" t="s">
        <v>159</v>
      </c>
      <c r="B51" s="189"/>
      <c r="C51" s="189"/>
      <c r="D51" s="189"/>
      <c r="E51" s="189"/>
      <c r="F51" s="189"/>
      <c r="G51" s="189"/>
      <c r="H51" s="189"/>
      <c r="I51" s="190" t="str">
        <f>AB1</f>
        <v>26.09.2026</v>
      </c>
      <c r="J51" s="190"/>
      <c r="K51" s="190"/>
      <c r="L51" s="190"/>
      <c r="M51" s="191" t="s">
        <v>160</v>
      </c>
      <c r="N51" s="192"/>
      <c r="O51" s="193"/>
      <c r="P51" s="193"/>
      <c r="Q51" s="193"/>
      <c r="R51" s="193"/>
      <c r="S51" s="193"/>
      <c r="T51" s="193"/>
      <c r="U51" s="105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</row>
    <row r="52" spans="1:31" ht="23.25">
      <c r="A52" s="188" t="s">
        <v>196</v>
      </c>
      <c r="B52" s="189"/>
      <c r="C52" s="189"/>
      <c r="D52" s="189"/>
      <c r="E52" s="189"/>
      <c r="F52" s="189"/>
      <c r="G52" s="189"/>
      <c r="H52" s="189"/>
      <c r="I52" s="190" t="s">
        <v>227</v>
      </c>
      <c r="J52" s="190"/>
      <c r="K52" s="190"/>
      <c r="L52" s="190" t="s">
        <v>166</v>
      </c>
      <c r="M52" s="191"/>
      <c r="N52" s="192"/>
      <c r="O52" s="193"/>
      <c r="P52" s="193"/>
      <c r="Q52" s="193"/>
      <c r="R52" s="193"/>
      <c r="S52" s="193"/>
      <c r="T52" s="193"/>
      <c r="U52" s="105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</row>
    <row r="53" spans="1:31" ht="23.25">
      <c r="A53" s="188"/>
      <c r="B53" s="189"/>
      <c r="C53" s="189"/>
      <c r="D53" s="189"/>
      <c r="E53" s="189"/>
      <c r="F53" s="189"/>
      <c r="G53" s="189"/>
      <c r="H53" s="189"/>
      <c r="I53" s="190"/>
      <c r="J53" s="190"/>
      <c r="K53" s="190"/>
      <c r="L53" s="190"/>
      <c r="M53" s="191"/>
      <c r="N53" s="192"/>
      <c r="O53" s="193"/>
      <c r="P53" s="193"/>
      <c r="Q53" s="193"/>
      <c r="R53" s="193"/>
      <c r="S53" s="193"/>
      <c r="T53" s="193"/>
      <c r="U53" s="105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</row>
    <row r="54" spans="1:31" ht="35.25" customHeight="1">
      <c r="A54" s="531" t="s">
        <v>87</v>
      </c>
      <c r="B54" s="532"/>
      <c r="C54" s="532"/>
      <c r="D54" s="532"/>
      <c r="E54" s="532"/>
      <c r="F54" s="532"/>
      <c r="G54" s="533"/>
      <c r="H54" s="534" t="s">
        <v>228</v>
      </c>
      <c r="I54" s="534"/>
      <c r="J54" s="560" t="s">
        <v>229</v>
      </c>
      <c r="K54" s="574" t="s">
        <v>202</v>
      </c>
      <c r="L54" s="195"/>
      <c r="M54" s="195"/>
      <c r="N54" s="535" t="s">
        <v>235</v>
      </c>
      <c r="O54" s="535"/>
      <c r="P54" s="535"/>
      <c r="Q54" s="535"/>
      <c r="R54" s="535"/>
      <c r="S54" s="535"/>
      <c r="T54" s="535"/>
      <c r="U54" s="535"/>
      <c r="V54" s="535"/>
      <c r="W54" s="535"/>
      <c r="X54" s="535"/>
      <c r="Y54" s="535"/>
      <c r="Z54" s="535"/>
      <c r="AA54" s="535"/>
      <c r="AB54" s="105"/>
      <c r="AC54" s="105"/>
      <c r="AD54" s="105"/>
      <c r="AE54" s="196"/>
    </row>
    <row r="55" spans="1:31" ht="53.25" customHeight="1">
      <c r="A55" s="531"/>
      <c r="B55" s="533"/>
      <c r="C55" s="536" t="s">
        <v>85</v>
      </c>
      <c r="D55" s="537"/>
      <c r="E55" s="536" t="s">
        <v>86</v>
      </c>
      <c r="F55" s="537"/>
      <c r="G55" s="312" t="s">
        <v>221</v>
      </c>
      <c r="H55" s="534"/>
      <c r="I55" s="534"/>
      <c r="J55" s="561"/>
      <c r="K55" s="575"/>
      <c r="L55" s="195"/>
      <c r="M55" s="195"/>
      <c r="N55" s="538" t="s">
        <v>52</v>
      </c>
      <c r="O55" s="539"/>
      <c r="P55" s="540"/>
      <c r="Q55" s="547" t="s">
        <v>51</v>
      </c>
      <c r="R55" s="548"/>
      <c r="S55" s="548"/>
      <c r="T55" s="548"/>
      <c r="U55" s="548"/>
      <c r="V55" s="548"/>
      <c r="W55" s="548"/>
      <c r="X55" s="548"/>
      <c r="Y55" s="548"/>
      <c r="Z55" s="548"/>
      <c r="AA55" s="549"/>
      <c r="AB55" s="105"/>
      <c r="AC55" s="105"/>
      <c r="AD55" s="105"/>
      <c r="AE55" s="196"/>
    </row>
    <row r="56" spans="1:31" ht="51" customHeight="1">
      <c r="A56" s="550" t="s">
        <v>152</v>
      </c>
      <c r="B56" s="551"/>
      <c r="C56" s="552">
        <v>26</v>
      </c>
      <c r="D56" s="553"/>
      <c r="E56" s="552">
        <v>5</v>
      </c>
      <c r="F56" s="553"/>
      <c r="G56" s="198">
        <v>1</v>
      </c>
      <c r="H56" s="562">
        <v>26</v>
      </c>
      <c r="I56" s="562"/>
      <c r="J56" s="317">
        <v>8</v>
      </c>
      <c r="K56" s="197">
        <v>4</v>
      </c>
      <c r="L56" s="195"/>
      <c r="M56" s="195"/>
      <c r="N56" s="541"/>
      <c r="O56" s="542"/>
      <c r="P56" s="543"/>
      <c r="Q56" s="555" t="s">
        <v>40</v>
      </c>
      <c r="R56" s="556"/>
      <c r="S56" s="556"/>
      <c r="T56" s="556"/>
      <c r="U56" s="557"/>
      <c r="V56" s="555" t="s">
        <v>41</v>
      </c>
      <c r="W56" s="557"/>
      <c r="X56" s="555" t="s">
        <v>37</v>
      </c>
      <c r="Y56" s="556"/>
      <c r="Z56" s="556"/>
      <c r="AA56" s="557"/>
      <c r="AB56" s="105"/>
      <c r="AC56" s="105"/>
      <c r="AD56" s="105"/>
      <c r="AE56" s="196"/>
    </row>
    <row r="57" spans="1:31" ht="23.25">
      <c r="A57" s="554"/>
      <c r="B57" s="554"/>
      <c r="C57" s="554"/>
      <c r="D57" s="554"/>
      <c r="E57" s="554"/>
      <c r="F57" s="554"/>
      <c r="G57" s="199"/>
      <c r="H57" s="195"/>
      <c r="I57" s="195"/>
      <c r="J57" s="195"/>
      <c r="K57" s="195"/>
      <c r="L57" s="195"/>
      <c r="M57" s="195"/>
      <c r="N57" s="544"/>
      <c r="O57" s="545"/>
      <c r="P57" s="546"/>
      <c r="Q57" s="555" t="s">
        <v>42</v>
      </c>
      <c r="R57" s="556"/>
      <c r="S57" s="556"/>
      <c r="T57" s="557"/>
      <c r="U57" s="183" t="s">
        <v>43</v>
      </c>
      <c r="V57" s="200" t="s">
        <v>42</v>
      </c>
      <c r="W57" s="200" t="s">
        <v>43</v>
      </c>
      <c r="X57" s="558" t="s">
        <v>42</v>
      </c>
      <c r="Y57" s="559"/>
      <c r="Z57" s="201"/>
      <c r="AA57" s="200" t="s">
        <v>43</v>
      </c>
      <c r="AB57" s="105"/>
      <c r="AC57" s="105"/>
      <c r="AD57" s="105"/>
      <c r="AE57" s="196"/>
    </row>
    <row r="58" spans="1:31" ht="23.25">
      <c r="A58" s="587"/>
      <c r="B58" s="587"/>
      <c r="C58" s="563"/>
      <c r="D58" s="563"/>
      <c r="E58" s="563"/>
      <c r="F58" s="202"/>
      <c r="G58" s="203"/>
      <c r="H58" s="564" t="s">
        <v>44</v>
      </c>
      <c r="I58" s="565"/>
      <c r="J58" s="565"/>
      <c r="K58" s="565"/>
      <c r="L58" s="565"/>
      <c r="M58" s="566"/>
      <c r="N58" s="567">
        <v>12.27</v>
      </c>
      <c r="O58" s="568"/>
      <c r="P58" s="569"/>
      <c r="Q58" s="570">
        <v>3</v>
      </c>
      <c r="R58" s="571"/>
      <c r="S58" s="571"/>
      <c r="T58" s="571"/>
      <c r="U58" s="204">
        <v>2.7</v>
      </c>
      <c r="V58" s="205">
        <v>16</v>
      </c>
      <c r="W58" s="206">
        <v>8.75</v>
      </c>
      <c r="X58" s="572">
        <f>Q58+V58</f>
        <v>19</v>
      </c>
      <c r="Y58" s="573"/>
      <c r="Z58" s="207"/>
      <c r="AA58" s="206">
        <f>U58+W58</f>
        <v>11.45</v>
      </c>
      <c r="AB58" s="105"/>
      <c r="AC58" s="105"/>
      <c r="AD58" s="105"/>
      <c r="AE58" s="196"/>
    </row>
    <row r="59" spans="1:31" ht="23.25">
      <c r="A59" s="580"/>
      <c r="B59" s="580"/>
      <c r="C59" s="581"/>
      <c r="D59" s="581"/>
      <c r="E59" s="581"/>
      <c r="F59" s="581"/>
      <c r="G59" s="203"/>
      <c r="H59" s="564" t="s">
        <v>45</v>
      </c>
      <c r="I59" s="565"/>
      <c r="J59" s="565"/>
      <c r="K59" s="565"/>
      <c r="L59" s="565"/>
      <c r="M59" s="566"/>
      <c r="N59" s="582">
        <v>2.44</v>
      </c>
      <c r="O59" s="583"/>
      <c r="P59" s="584"/>
      <c r="Q59" s="585">
        <v>0</v>
      </c>
      <c r="R59" s="586"/>
      <c r="S59" s="586"/>
      <c r="T59" s="586"/>
      <c r="U59" s="208">
        <v>0</v>
      </c>
      <c r="V59" s="205">
        <v>6</v>
      </c>
      <c r="W59" s="206">
        <v>1.2</v>
      </c>
      <c r="X59" s="572">
        <f>Q59+V59</f>
        <v>6</v>
      </c>
      <c r="Y59" s="573"/>
      <c r="Z59" s="207"/>
      <c r="AA59" s="206">
        <f>U59+W59</f>
        <v>1.2</v>
      </c>
      <c r="AB59" s="209"/>
      <c r="AC59" s="209"/>
      <c r="AD59" s="105"/>
      <c r="AE59" s="196"/>
    </row>
    <row r="60" spans="1:31" ht="20.25">
      <c r="A60" s="578"/>
      <c r="B60" s="578"/>
      <c r="C60" s="579"/>
      <c r="D60" s="579"/>
      <c r="E60" s="579"/>
      <c r="F60" s="579"/>
      <c r="G60" s="172"/>
      <c r="H60" s="171"/>
      <c r="I60" s="171"/>
      <c r="J60" s="171"/>
      <c r="K60" s="171"/>
      <c r="L60" s="171"/>
      <c r="M60" s="171"/>
      <c r="N60" s="170"/>
      <c r="O60" s="170"/>
      <c r="P60" s="170"/>
      <c r="Q60" s="170"/>
      <c r="R60" s="170"/>
      <c r="S60" s="170"/>
      <c r="T60" s="170"/>
      <c r="AB60" s="35"/>
      <c r="AC60" s="35"/>
      <c r="AE60" s="24"/>
    </row>
    <row r="61" spans="1:31" ht="20.25">
      <c r="B61" s="173"/>
      <c r="AE61" s="24"/>
    </row>
    <row r="62" spans="1:31" ht="26.25">
      <c r="A62" s="576" t="s">
        <v>153</v>
      </c>
      <c r="B62" s="576"/>
      <c r="C62" s="576"/>
      <c r="D62" s="576"/>
      <c r="E62" s="576"/>
      <c r="F62" s="576"/>
      <c r="G62" s="576"/>
      <c r="H62" s="576"/>
      <c r="I62" s="576"/>
      <c r="J62" s="576"/>
      <c r="K62" s="576"/>
      <c r="L62" s="576"/>
      <c r="M62" s="576"/>
      <c r="N62" s="577" t="str">
        <f>AB1</f>
        <v>26.09.2026</v>
      </c>
      <c r="O62" s="577"/>
      <c r="P62" s="577"/>
      <c r="Q62" s="577"/>
      <c r="R62" s="577"/>
      <c r="S62" s="182"/>
      <c r="T62" s="182"/>
      <c r="U62" s="36"/>
      <c r="V62" s="37">
        <f>X46+Y46+Z46+AA46</f>
        <v>230</v>
      </c>
      <c r="X62" t="s">
        <v>46</v>
      </c>
      <c r="AE62" s="24"/>
    </row>
    <row r="63" spans="1:31">
      <c r="AE63" s="24"/>
    </row>
    <row r="64" spans="1:31" ht="26.25">
      <c r="A64" s="576" t="s">
        <v>154</v>
      </c>
      <c r="B64" s="576"/>
      <c r="C64" s="576"/>
      <c r="D64" s="576"/>
      <c r="E64" s="576"/>
      <c r="F64" s="576"/>
      <c r="G64" s="576"/>
      <c r="H64" s="576"/>
      <c r="I64" s="576"/>
      <c r="J64" s="576"/>
      <c r="K64" s="576"/>
      <c r="L64" s="576"/>
      <c r="M64" s="576"/>
      <c r="N64" s="577" t="str">
        <f>AB1</f>
        <v>26.09.2026</v>
      </c>
      <c r="O64" s="577"/>
      <c r="P64" s="577"/>
      <c r="Q64" s="577"/>
      <c r="R64" s="577"/>
      <c r="S64" s="174"/>
      <c r="T64" s="174"/>
      <c r="U64" s="36"/>
      <c r="V64" s="38">
        <f>AB46+AC46+AD46</f>
        <v>152</v>
      </c>
      <c r="AE64" s="24"/>
    </row>
    <row r="65" spans="11:31">
      <c r="U65" s="41"/>
      <c r="AE65" s="24"/>
    </row>
    <row r="66" spans="11:31">
      <c r="AE66" s="24"/>
    </row>
    <row r="67" spans="11:31">
      <c r="AE67" s="24"/>
    </row>
    <row r="68" spans="11:31">
      <c r="AE68" s="24"/>
    </row>
    <row r="69" spans="11:31">
      <c r="AE69" s="24"/>
    </row>
    <row r="70" spans="11:31">
      <c r="AE70" s="24"/>
    </row>
    <row r="73" spans="11:31">
      <c r="K73" s="268"/>
      <c r="L73" s="268"/>
    </row>
    <row r="74" spans="11:31">
      <c r="K74" s="268"/>
      <c r="L74" s="268"/>
    </row>
    <row r="75" spans="11:31">
      <c r="K75" s="268"/>
      <c r="L75" s="268"/>
    </row>
  </sheetData>
  <mergeCells count="93">
    <mergeCell ref="K54:K55"/>
    <mergeCell ref="A64:M64"/>
    <mergeCell ref="N64:R64"/>
    <mergeCell ref="X59:Y59"/>
    <mergeCell ref="A60:B60"/>
    <mergeCell ref="C60:D60"/>
    <mergeCell ref="E60:F60"/>
    <mergeCell ref="A62:M62"/>
    <mergeCell ref="N62:R62"/>
    <mergeCell ref="A59:B59"/>
    <mergeCell ref="C59:D59"/>
    <mergeCell ref="E59:F59"/>
    <mergeCell ref="H59:M59"/>
    <mergeCell ref="N59:P59"/>
    <mergeCell ref="Q59:T59"/>
    <mergeCell ref="A58:B58"/>
    <mergeCell ref="C58:E58"/>
    <mergeCell ref="H58:M58"/>
    <mergeCell ref="N58:P58"/>
    <mergeCell ref="Q58:T58"/>
    <mergeCell ref="X58:Y58"/>
    <mergeCell ref="E56:F56"/>
    <mergeCell ref="H56:I56"/>
    <mergeCell ref="Q56:U56"/>
    <mergeCell ref="V56:W56"/>
    <mergeCell ref="X56:AA56"/>
    <mergeCell ref="A54:G54"/>
    <mergeCell ref="H54:I55"/>
    <mergeCell ref="N54:AA54"/>
    <mergeCell ref="A55:B55"/>
    <mergeCell ref="C55:D55"/>
    <mergeCell ref="E55:F55"/>
    <mergeCell ref="N55:P57"/>
    <mergeCell ref="Q55:AA55"/>
    <mergeCell ref="A56:B56"/>
    <mergeCell ref="C56:D56"/>
    <mergeCell ref="A57:B57"/>
    <mergeCell ref="C57:D57"/>
    <mergeCell ref="E57:F57"/>
    <mergeCell ref="Q57:T57"/>
    <mergeCell ref="X57:Y57"/>
    <mergeCell ref="J54:J55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'DRC(9)'!Print_Area</vt:lpstr>
      <vt:lpstr>Loading!Print_Area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2026-09-28T05:25:36Z</cp:lastPrinted>
  <dcterms:created xsi:type="dcterms:W3CDTF">2011-07-14T19:36:00Z</dcterms:created>
  <dcterms:modified xsi:type="dcterms:W3CDTF">2026-09-28T05:32:14Z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