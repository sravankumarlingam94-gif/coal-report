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 /><Relationship Id="rId2" Type="http://schemas.openxmlformats.org/package/2006/relationships/metadata/core-properties" Target="docProps/core.xml" /><Relationship Id="rId1" Type="http://schemas.openxmlformats.org/officeDocument/2006/relationships/officeDocument" Target="xl/workbook.xml" /><Relationship Id="rId4" Type="http://schemas.openxmlformats.org/officeDocument/2006/relationships/custom-properties" Target="docProps/custom.xml" 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430"/>
  <workbookPr defaultThemeVersion="124226"/>
  <xr:revisionPtr revIDLastSave="0" documentId="8_{C530F431-34E9-3F4A-ACA4-0C76F70D6EFD}" xr6:coauthVersionLast="47" xr6:coauthVersionMax="47" xr10:uidLastSave="{00000000-0000-0000-0000-000000000000}"/>
  <bookViews>
    <workbookView xWindow="-105" yWindow="-105" windowWidth="20730" windowHeight="11760" xr2:uid="{00000000-000D-0000-FFFF-FFFF00000000}"/>
  </bookViews>
  <sheets>
    <sheet name="DRC(9)" sheetId="1" r:id="rId1"/>
    <sheet name="Loading" sheetId="3" r:id="rId2"/>
  </sheets>
  <definedNames>
    <definedName name="_xlnm._FilterDatabase" localSheetId="0" hidden="1">'DRC(9)'!$B$3:$P$36</definedName>
    <definedName name="_xlnm.Print_Area" localSheetId="0">'DRC(9)'!$A$1:$R$89</definedName>
    <definedName name="_xlnm.Print_Area" localSheetId="1">Loading!$A$1:$AE$52</definedName>
  </definedNames>
  <calcPr calcId="191028"/>
  <fileRecoveryPr autoRecover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31" i="1" l="1"/>
  <c r="N51" i="3"/>
  <c r="N52" i="3"/>
  <c r="H28" i="1"/>
  <c r="H26" i="1"/>
  <c r="P9" i="1"/>
  <c r="O9" i="1"/>
  <c r="N9" i="1"/>
  <c r="M9" i="1"/>
  <c r="N47" i="1"/>
  <c r="F17" i="1"/>
  <c r="F12" i="1"/>
  <c r="F13" i="1"/>
  <c r="AE38" i="3"/>
  <c r="M38" i="3"/>
  <c r="D38" i="3"/>
  <c r="W38" i="3"/>
  <c r="V38" i="3"/>
  <c r="U38" i="3"/>
  <c r="AE39" i="3"/>
  <c r="AE40" i="3"/>
  <c r="AD39" i="3"/>
  <c r="AD40" i="3"/>
  <c r="AC39" i="3"/>
  <c r="AC40" i="3"/>
  <c r="AB39" i="3"/>
  <c r="AB40" i="3"/>
  <c r="AA39" i="3"/>
  <c r="AA40" i="3"/>
  <c r="Z39" i="3"/>
  <c r="Z40" i="3"/>
  <c r="Y39" i="3"/>
  <c r="Y40" i="3"/>
  <c r="X39" i="3"/>
  <c r="X40" i="3"/>
  <c r="W39" i="3"/>
  <c r="W40" i="3"/>
  <c r="V39" i="3"/>
  <c r="V40" i="3"/>
  <c r="U39" i="3"/>
  <c r="U40" i="3"/>
  <c r="T39" i="3"/>
  <c r="T40" i="3"/>
  <c r="S39" i="3"/>
  <c r="S40" i="3"/>
  <c r="R39" i="3"/>
  <c r="R40" i="3"/>
  <c r="Q39" i="3"/>
  <c r="Q40" i="3"/>
  <c r="P39" i="3"/>
  <c r="P40" i="3"/>
  <c r="O39" i="3"/>
  <c r="O40" i="3"/>
  <c r="N39" i="3"/>
  <c r="N40" i="3"/>
  <c r="M39" i="3"/>
  <c r="M40" i="3"/>
  <c r="L39" i="3"/>
  <c r="L40" i="3"/>
  <c r="K39" i="3"/>
  <c r="K40" i="3"/>
  <c r="J39" i="3"/>
  <c r="J40" i="3"/>
  <c r="I39" i="3"/>
  <c r="I40" i="3"/>
  <c r="H39" i="3"/>
  <c r="H40" i="3"/>
  <c r="G39" i="3"/>
  <c r="G40" i="3"/>
  <c r="F39" i="3"/>
  <c r="F40" i="3"/>
  <c r="E39" i="3"/>
  <c r="E40" i="3"/>
  <c r="D39" i="3"/>
  <c r="D40" i="3"/>
  <c r="C39" i="3"/>
  <c r="C40" i="3"/>
  <c r="B39" i="3"/>
  <c r="B40" i="3"/>
  <c r="AE37" i="3"/>
  <c r="AE19" i="3"/>
  <c r="AE20" i="3"/>
  <c r="AE21" i="3"/>
  <c r="AE22" i="3"/>
  <c r="AE23" i="3"/>
  <c r="AE24" i="3"/>
  <c r="AE25" i="3"/>
  <c r="AE26" i="3"/>
  <c r="AE27" i="3"/>
  <c r="AE28" i="3"/>
  <c r="AE29" i="3"/>
  <c r="AE30" i="3"/>
  <c r="AE31" i="3"/>
  <c r="AE32" i="3"/>
  <c r="AE33" i="3"/>
  <c r="AE34" i="3"/>
  <c r="AE35" i="3"/>
  <c r="AE36" i="3"/>
  <c r="D37" i="3"/>
  <c r="M37" i="3"/>
  <c r="W37" i="3"/>
  <c r="D19" i="3"/>
  <c r="M19" i="3"/>
  <c r="W19" i="3"/>
  <c r="D20" i="3"/>
  <c r="M20" i="3"/>
  <c r="W20" i="3"/>
  <c r="D21" i="3"/>
  <c r="M21" i="3"/>
  <c r="W21" i="3"/>
  <c r="D22" i="3"/>
  <c r="M22" i="3"/>
  <c r="W22" i="3"/>
  <c r="D23" i="3"/>
  <c r="M23" i="3"/>
  <c r="W23" i="3"/>
  <c r="D24" i="3"/>
  <c r="M24" i="3"/>
  <c r="W24" i="3"/>
  <c r="D25" i="3"/>
  <c r="M25" i="3"/>
  <c r="W25" i="3"/>
  <c r="D26" i="3"/>
  <c r="M26" i="3"/>
  <c r="W26" i="3"/>
  <c r="D27" i="3"/>
  <c r="M27" i="3"/>
  <c r="W27" i="3"/>
  <c r="D28" i="3"/>
  <c r="M28" i="3"/>
  <c r="W28" i="3"/>
  <c r="D29" i="3"/>
  <c r="M29" i="3"/>
  <c r="W29" i="3"/>
  <c r="D30" i="3"/>
  <c r="M30" i="3"/>
  <c r="W30" i="3"/>
  <c r="D31" i="3"/>
  <c r="M31" i="3"/>
  <c r="W31" i="3"/>
  <c r="D32" i="3"/>
  <c r="M32" i="3"/>
  <c r="W32" i="3"/>
  <c r="D33" i="3"/>
  <c r="M33" i="3"/>
  <c r="W33" i="3"/>
  <c r="D34" i="3"/>
  <c r="M34" i="3"/>
  <c r="W34" i="3"/>
  <c r="D35" i="3"/>
  <c r="M35" i="3"/>
  <c r="W35" i="3"/>
  <c r="D36" i="3"/>
  <c r="M36" i="3"/>
  <c r="W36" i="3"/>
  <c r="V37" i="3"/>
  <c r="V19" i="3"/>
  <c r="V20" i="3"/>
  <c r="V21" i="3"/>
  <c r="V22" i="3"/>
  <c r="V23" i="3"/>
  <c r="V24" i="3"/>
  <c r="V25" i="3"/>
  <c r="V26" i="3"/>
  <c r="V27" i="3"/>
  <c r="V28" i="3"/>
  <c r="V29" i="3"/>
  <c r="V30" i="3"/>
  <c r="V31" i="3"/>
  <c r="V32" i="3"/>
  <c r="V33" i="3"/>
  <c r="V34" i="3"/>
  <c r="V35" i="3"/>
  <c r="V36" i="3"/>
  <c r="U37" i="3"/>
  <c r="U19" i="3"/>
  <c r="U20" i="3"/>
  <c r="U21" i="3"/>
  <c r="U22" i="3"/>
  <c r="U23" i="3"/>
  <c r="U24" i="3"/>
  <c r="U25" i="3"/>
  <c r="U26" i="3"/>
  <c r="U27" i="3"/>
  <c r="U28" i="3"/>
  <c r="U29" i="3"/>
  <c r="U30" i="3"/>
  <c r="U31" i="3"/>
  <c r="U32" i="3"/>
  <c r="U33" i="3"/>
  <c r="U34" i="3"/>
  <c r="U35" i="3"/>
  <c r="U36" i="3"/>
  <c r="O43" i="1"/>
  <c r="W17" i="1"/>
  <c r="V17" i="1"/>
  <c r="T43" i="3"/>
  <c r="S43" i="3"/>
  <c r="R43" i="3"/>
  <c r="Q43" i="3"/>
  <c r="P43" i="3"/>
  <c r="O43" i="3"/>
  <c r="M43" i="3"/>
  <c r="N43" i="3"/>
  <c r="L43" i="3"/>
  <c r="K43" i="3"/>
  <c r="J43" i="3"/>
  <c r="I43" i="3"/>
  <c r="H43" i="3"/>
  <c r="G43" i="3"/>
  <c r="F43" i="3"/>
  <c r="E43" i="3"/>
  <c r="D41" i="3"/>
  <c r="D43" i="3"/>
  <c r="C43" i="3"/>
  <c r="B43" i="3"/>
  <c r="F25" i="1"/>
  <c r="V13" i="1"/>
  <c r="V15" i="1"/>
  <c r="V18" i="1"/>
  <c r="N49" i="1"/>
  <c r="F22" i="1"/>
  <c r="L50" i="1"/>
  <c r="W15" i="1"/>
  <c r="W13" i="1"/>
  <c r="W18" i="1"/>
  <c r="N22" i="1"/>
  <c r="N34" i="1"/>
  <c r="H14" i="1"/>
  <c r="L9" i="1"/>
  <c r="AE7" i="3"/>
  <c r="AE8" i="3"/>
  <c r="AE9" i="3"/>
  <c r="AE10" i="3"/>
  <c r="AE11" i="3"/>
  <c r="AE12" i="3"/>
  <c r="AD12" i="3"/>
  <c r="AC12" i="3"/>
  <c r="AB12" i="3"/>
  <c r="AA12" i="3"/>
  <c r="Z12" i="3"/>
  <c r="Y12" i="3"/>
  <c r="X12" i="3"/>
  <c r="M11" i="3"/>
  <c r="D11" i="3"/>
  <c r="W11" i="3"/>
  <c r="D7" i="3"/>
  <c r="M7" i="3"/>
  <c r="W7" i="3"/>
  <c r="D8" i="3"/>
  <c r="M8" i="3"/>
  <c r="W8" i="3"/>
  <c r="D9" i="3"/>
  <c r="M9" i="3"/>
  <c r="W9" i="3"/>
  <c r="D10" i="3"/>
  <c r="M10" i="3"/>
  <c r="W10" i="3"/>
  <c r="W12" i="3"/>
  <c r="V11" i="3"/>
  <c r="V7" i="3"/>
  <c r="V8" i="3"/>
  <c r="V9" i="3"/>
  <c r="V10" i="3"/>
  <c r="V12" i="3"/>
  <c r="U11" i="3"/>
  <c r="U7" i="3"/>
  <c r="U8" i="3"/>
  <c r="U9" i="3"/>
  <c r="U10" i="3"/>
  <c r="U12" i="3"/>
  <c r="T12" i="3"/>
  <c r="S12" i="3"/>
  <c r="R12" i="3"/>
  <c r="Q12" i="3"/>
  <c r="P12" i="3"/>
  <c r="O12" i="3"/>
  <c r="N12" i="3"/>
  <c r="M12" i="3"/>
  <c r="L12" i="3"/>
  <c r="K12" i="3"/>
  <c r="J12" i="3"/>
  <c r="I12" i="3"/>
  <c r="H12" i="3"/>
  <c r="G12" i="3"/>
  <c r="F12" i="3"/>
  <c r="E12" i="3"/>
  <c r="D12" i="3"/>
  <c r="C12" i="3"/>
  <c r="B12" i="3"/>
  <c r="G7" i="1"/>
  <c r="H22" i="1"/>
  <c r="G14" i="1"/>
  <c r="G17" i="1"/>
  <c r="G22" i="1"/>
  <c r="N57" i="3"/>
  <c r="G32" i="1"/>
  <c r="F34" i="1"/>
  <c r="N55" i="3"/>
  <c r="AA52" i="3"/>
  <c r="X52" i="3"/>
  <c r="AA51" i="3"/>
  <c r="X51" i="3"/>
  <c r="I44" i="3"/>
  <c r="M50" i="1"/>
  <c r="P49" i="1"/>
  <c r="M49" i="1"/>
  <c r="L49" i="1"/>
  <c r="O48" i="1"/>
  <c r="R48" i="1"/>
  <c r="H48" i="1"/>
  <c r="G48" i="1"/>
  <c r="F38" i="1"/>
  <c r="F39" i="1"/>
  <c r="F43" i="1"/>
  <c r="F50" i="1"/>
  <c r="F51" i="1"/>
  <c r="F36" i="1"/>
  <c r="E48" i="1"/>
  <c r="D48" i="1"/>
  <c r="F7" i="1"/>
  <c r="P50" i="1"/>
  <c r="F32" i="1"/>
  <c r="N50" i="1"/>
  <c r="H32" i="1"/>
  <c r="V55" i="3"/>
  <c r="F14" i="1"/>
  <c r="O47" i="1"/>
  <c r="R47" i="1"/>
  <c r="V57" i="3"/>
  <c r="V20" i="1"/>
  <c r="O44" i="1"/>
  <c r="O49" i="1"/>
  <c r="O50" i="1"/>
  <c r="F48" i="1"/>
</calcChain>
</file>

<file path=xl/sharedStrings.xml><?xml version="1.0" encoding="utf-8"?>
<sst xmlns="http://schemas.openxmlformats.org/spreadsheetml/2006/main" count="419" uniqueCount="308">
  <si>
    <t xml:space="preserve">APGENCO: Daily Coal Report for </t>
  </si>
  <si>
    <t>Dr.NTTPS</t>
  </si>
  <si>
    <t>RTPP</t>
  </si>
  <si>
    <t>SDSTPS</t>
  </si>
  <si>
    <t>Opening Balance</t>
  </si>
  <si>
    <t>Total</t>
  </si>
  <si>
    <t>Receipts</t>
  </si>
  <si>
    <t xml:space="preserve">     -</t>
  </si>
  <si>
    <t>Tippled</t>
  </si>
  <si>
    <t>DO expired date</t>
  </si>
  <si>
    <t xml:space="preserve">Pending wagons </t>
  </si>
  <si>
    <t>Total_Consumption</t>
  </si>
  <si>
    <t>Closing Balance</t>
  </si>
  <si>
    <t>Solar</t>
  </si>
  <si>
    <t>Hydel</t>
  </si>
  <si>
    <t xml:space="preserve">Generation (MU)
</t>
  </si>
  <si>
    <t xml:space="preserve">Ex bus_Gen(MU)
</t>
  </si>
  <si>
    <t>% Aux. Consumption</t>
  </si>
  <si>
    <t>Sp. Coal cons.(Kg/Kwh)</t>
  </si>
  <si>
    <t>APGENCO</t>
  </si>
  <si>
    <t>SCCL</t>
  </si>
  <si>
    <t>Source</t>
  </si>
  <si>
    <t>Wagon Status</t>
  </si>
  <si>
    <t>S.No</t>
  </si>
  <si>
    <t>Date:</t>
  </si>
  <si>
    <t>Month</t>
  </si>
  <si>
    <t>Rakes Loading at Mines</t>
  </si>
  <si>
    <t>Rakes Received at Plants</t>
  </si>
  <si>
    <t>MCL</t>
  </si>
  <si>
    <t>Total (A)</t>
  </si>
  <si>
    <t>Rail</t>
  </si>
  <si>
    <t>Washed Coal</t>
  </si>
  <si>
    <t>Raw coal</t>
  </si>
  <si>
    <t>TLHR</t>
  </si>
  <si>
    <t>IB</t>
  </si>
  <si>
    <t>Total (B)</t>
  </si>
  <si>
    <t>Paradip (C)</t>
  </si>
  <si>
    <t xml:space="preserve">Total </t>
  </si>
  <si>
    <t>Date</t>
  </si>
  <si>
    <t>Total Avg.</t>
  </si>
  <si>
    <t>Pending rakes</t>
  </si>
  <si>
    <t xml:space="preserve">Today rakes </t>
  </si>
  <si>
    <t>Nos.</t>
  </si>
  <si>
    <t>Rs.Cr.</t>
  </si>
  <si>
    <t>ECoR&amp;SECR(MCL)</t>
  </si>
  <si>
    <t>SCR(SCCL)</t>
  </si>
  <si>
    <t xml:space="preserve"> </t>
  </si>
  <si>
    <t>Krishnapatnam to</t>
  </si>
  <si>
    <t>Talcher to</t>
  </si>
  <si>
    <t>Dr NTTPS</t>
  </si>
  <si>
    <t>Time(Hrs)</t>
  </si>
  <si>
    <t xml:space="preserve"> Required Amount (Rs. in Crs.)</t>
  </si>
  <si>
    <t>Amount available in Bank    ( Rs in Crs )</t>
  </si>
  <si>
    <t>Sanctioned Prog. Avg</t>
  </si>
  <si>
    <t>Sanctioned Program</t>
  </si>
  <si>
    <t>Applied Program</t>
  </si>
  <si>
    <t>DO Qty in MT</t>
  </si>
  <si>
    <t>Raw Coal lifted on day(MT)</t>
  </si>
  <si>
    <t>Balance DO Qty in MT</t>
  </si>
  <si>
    <t>Cum. Qty.Lifted in MT</t>
  </si>
  <si>
    <t>Washed Coal Stock in MT</t>
  </si>
  <si>
    <t>NTTPS</t>
  </si>
  <si>
    <t>Total Rakes Loading at Mines to Stations &amp; Paradip Port (A+B+C+D)</t>
  </si>
  <si>
    <t>Total Rakes Loading at Mines  to Stations &amp; Paradip Port (A+B+C+D)</t>
  </si>
  <si>
    <t>Dr.NTTPS (E)</t>
  </si>
  <si>
    <t>RTPP (F)</t>
  </si>
  <si>
    <t>Total Rakes Received at Plants (E+F)</t>
  </si>
  <si>
    <t>ENNORE PORT to</t>
  </si>
  <si>
    <t>NTTPS ( from IB )</t>
  </si>
  <si>
    <t xml:space="preserve">Washed coal </t>
  </si>
  <si>
    <t>BPQP ( for NTTPS)</t>
  </si>
  <si>
    <t xml:space="preserve">BPQP </t>
  </si>
  <si>
    <t>NTTPS ( ACB (SSMT))</t>
  </si>
  <si>
    <t>NTTPS ( ACB ( SSMT))</t>
  </si>
  <si>
    <t>MPQP    (D)</t>
  </si>
  <si>
    <t>MPQP /  (JSW)</t>
  </si>
  <si>
    <t>Kakinada  PORT to</t>
  </si>
  <si>
    <t xml:space="preserve">NTTPS </t>
  </si>
  <si>
    <t>Source: Present Location ( Distance in Km )</t>
  </si>
  <si>
    <t>SSMT</t>
  </si>
  <si>
    <t>IB Valley</t>
  </si>
  <si>
    <t>BP ( SC for NTTPS )</t>
  </si>
  <si>
    <t>BP ( SC for NTTPS)</t>
  </si>
  <si>
    <t>RTPP  ( from IB )</t>
  </si>
  <si>
    <t>IB VALLEY (Washed Coal )</t>
  </si>
  <si>
    <t>NTTPS to RTPP</t>
  </si>
  <si>
    <t>NTTPS to SDSTPS</t>
  </si>
  <si>
    <t>Rebooked Rakes  from</t>
  </si>
  <si>
    <t>ECL ( Raw Coal)</t>
  </si>
  <si>
    <t xml:space="preserve">RTPP </t>
  </si>
  <si>
    <t>MONTH WISE COAL LOADING DURING THE FINANCIAL YEAR 2025-2026</t>
  </si>
  <si>
    <t>Coal Wagons Tippling Data</t>
  </si>
  <si>
    <t>Coal Stocks (MT)</t>
  </si>
  <si>
    <t>Washery coal stocks</t>
  </si>
  <si>
    <t>Dr. NTTPS</t>
  </si>
  <si>
    <t xml:space="preserve"> Stocks at Paradip</t>
  </si>
  <si>
    <t xml:space="preserve">Stock </t>
  </si>
  <si>
    <t>Coal in vessel</t>
  </si>
  <si>
    <t>Coal in Transit</t>
  </si>
  <si>
    <t>Total Port Stock including coal transit (APGENCO)</t>
  </si>
  <si>
    <t xml:space="preserve">                </t>
  </si>
  <si>
    <t>ACB (India) Talcher Washary Ltd</t>
  </si>
  <si>
    <t xml:space="preserve">Generation Particulars(MU)
</t>
  </si>
  <si>
    <t xml:space="preserve">Rakes loaded at mines on </t>
  </si>
  <si>
    <t>MCL-Talcher</t>
  </si>
  <si>
    <t>MCL-Ib Valley</t>
  </si>
  <si>
    <t>Mine Name</t>
  </si>
  <si>
    <t>Programme</t>
  </si>
  <si>
    <t>(b) JSW</t>
  </si>
  <si>
    <t xml:space="preserve">ACB Washery </t>
  </si>
  <si>
    <t>Ib Valley washery</t>
  </si>
  <si>
    <t xml:space="preserve">ECL-High Grade </t>
  </si>
  <si>
    <t xml:space="preserve">Kakinada Port </t>
  </si>
  <si>
    <t>Krishnapatnam Port</t>
  </si>
  <si>
    <t>Ennore Port</t>
  </si>
  <si>
    <t xml:space="preserve"> Capacity </t>
  </si>
  <si>
    <t xml:space="preserve"> Previous day wagons pending  @09.30Hrs</t>
  </si>
  <si>
    <t>-</t>
  </si>
  <si>
    <t>Coal stocks split (MT)</t>
  </si>
  <si>
    <t xml:space="preserve">Washed coal stock </t>
  </si>
  <si>
    <t>ECL High GCV coal stock</t>
  </si>
  <si>
    <t>Imported coal stock</t>
  </si>
  <si>
    <t>Normal Raw coal stock</t>
  </si>
  <si>
    <t>Total stock</t>
  </si>
  <si>
    <t>Coal consumption split (MT)</t>
  </si>
  <si>
    <t xml:space="preserve">Washed coal Consumption </t>
  </si>
  <si>
    <t xml:space="preserve">ECL High GCV coal consumption </t>
  </si>
  <si>
    <t xml:space="preserve">SCCL High GCV coal consumption </t>
  </si>
  <si>
    <t>Imported coal consumption</t>
  </si>
  <si>
    <t xml:space="preserve">Normal coal consumption </t>
  </si>
  <si>
    <t>Windage and shrinkage loss</t>
  </si>
  <si>
    <t>Total consumption</t>
  </si>
  <si>
    <t xml:space="preserve">RSR- Paradip Port </t>
  </si>
  <si>
    <t xml:space="preserve">(a) MCHP </t>
  </si>
  <si>
    <t>Unloading status Dr. NTTPS</t>
  </si>
  <si>
    <t>Unloading status RTPP</t>
  </si>
  <si>
    <t>Total Rakes to Plant</t>
  </si>
  <si>
    <t>Coal Stock at Paradip Port (MP)) A/c of Adani</t>
  </si>
  <si>
    <t>Status</t>
  </si>
  <si>
    <t>Thermal</t>
  </si>
  <si>
    <t>Total stock at Discharge ports</t>
  </si>
  <si>
    <t>Total Coal Stock at load ports</t>
  </si>
  <si>
    <t>Time Hrs</t>
  </si>
  <si>
    <t>RSR(APGENCO- Discharge port stocks) in MT</t>
  </si>
  <si>
    <t>Raw Coal Stock ( Washery) MT</t>
  </si>
  <si>
    <t>AP GRID Demand (MU)</t>
  </si>
  <si>
    <t>Coal Stock at Paradip Port (MPQP) A/c of Ripley</t>
  </si>
  <si>
    <t xml:space="preserve">Coal Stock at Paradip Port (MPQP) A/c of  MBG  </t>
  </si>
  <si>
    <t>Coal Stock at Paradip Port (BP) A/c of Sarat</t>
  </si>
  <si>
    <t>ETA</t>
  </si>
  <si>
    <t>ECL ( High Grade )</t>
  </si>
  <si>
    <t>Paradip © ( MP )</t>
  </si>
  <si>
    <t>01.04.2026 to till date</t>
  </si>
  <si>
    <t xml:space="preserve">Total Number of Rakes Received at Dr NTTPS from 01-04-2026  to  </t>
  </si>
  <si>
    <t xml:space="preserve">Total Number of Rakes Received at RTPP from 01-04-2026  to  </t>
  </si>
  <si>
    <t>SCCL High GCV coal stock</t>
  </si>
  <si>
    <t>Vessel loading/unloading details</t>
  </si>
  <si>
    <t>Load/Unload port</t>
  </si>
  <si>
    <t>5</t>
  </si>
  <si>
    <t xml:space="preserve"> Number of Rakes Rebooked from Dr NTTPS to  SDSTPS  on</t>
  </si>
  <si>
    <t>:  NIL</t>
  </si>
  <si>
    <t>Coal Stock at Paradip Port (BPQP) A/c of KCT</t>
  </si>
  <si>
    <t>april</t>
  </si>
  <si>
    <t>may</t>
  </si>
  <si>
    <t>june</t>
  </si>
  <si>
    <t>18 rakes raw coal</t>
  </si>
  <si>
    <t>ECL ( High Grade Coal ) Rakes in pipeline to SDSTPS ( APPDCL ) at 10.00 AM</t>
  </si>
  <si>
    <t>Bhubaneswari  OCP</t>
  </si>
  <si>
    <t>Bharatpur  OCP</t>
  </si>
  <si>
    <t>04.09.2026</t>
  </si>
  <si>
    <t>:</t>
  </si>
  <si>
    <t xml:space="preserve">Diverted to  RTPP </t>
  </si>
  <si>
    <t>30</t>
  </si>
  <si>
    <t>50</t>
  </si>
  <si>
    <t>10</t>
  </si>
  <si>
    <t>160</t>
  </si>
  <si>
    <t>50000                 (26.08.26)</t>
  </si>
  <si>
    <t>09.10.2026</t>
  </si>
  <si>
    <t>01.09.2026</t>
  </si>
  <si>
    <t>DAY -WISE COAL LOADING DURING THE MONTH OF  SEPTEMBER  - 2026</t>
  </si>
  <si>
    <t>03.09.2026</t>
  </si>
  <si>
    <t>02.09.2026</t>
  </si>
  <si>
    <t>Ananta OCP</t>
  </si>
  <si>
    <t>RSR(APGENCO-Load Port stocks) in MT @ 6.00 AM</t>
  </si>
  <si>
    <t>05.09.2026</t>
  </si>
  <si>
    <t>07.09.2026</t>
  </si>
  <si>
    <t>06.09.2026</t>
  </si>
  <si>
    <t>08.09.2026</t>
  </si>
  <si>
    <t>60</t>
  </si>
  <si>
    <t>Jagannath OCP</t>
  </si>
  <si>
    <t>49922          (08.09.26)</t>
  </si>
  <si>
    <t>22.10.2026</t>
  </si>
  <si>
    <t>09.09.2026</t>
  </si>
  <si>
    <t>11.09.2026</t>
  </si>
  <si>
    <t>AKPK (  ADANI PORT )</t>
  </si>
  <si>
    <t>10.09.2026</t>
  </si>
  <si>
    <t>Coal Stocks</t>
  </si>
  <si>
    <t xml:space="preserve"> At Loading Port </t>
  </si>
  <si>
    <t>at Unloading  Port</t>
  </si>
  <si>
    <t>24.10.2026</t>
  </si>
  <si>
    <t>50000          (10.09.26)</t>
  </si>
  <si>
    <t>12.09.2026</t>
  </si>
  <si>
    <t>50000          (11.09.26)</t>
  </si>
  <si>
    <t>25.10.2026</t>
  </si>
  <si>
    <t>14.09.2026</t>
  </si>
  <si>
    <t>13.09.2026</t>
  </si>
  <si>
    <t>15.09.2026</t>
  </si>
  <si>
    <t xml:space="preserve">ENNORE </t>
  </si>
  <si>
    <t>MV  PRT ACE ( Sarat ( SCCPL ) to NTTPS  )</t>
  </si>
  <si>
    <t>16.09.2026</t>
  </si>
  <si>
    <t xml:space="preserve"> Number of Rakes Diverted from  RTPP to  NTTPS  on</t>
  </si>
  <si>
    <t>15</t>
  </si>
  <si>
    <t>AKPL to NTTPS</t>
  </si>
  <si>
    <t>MV AP DUBROVNIK  ( (  ADANI ) - RTPP  )</t>
  </si>
  <si>
    <t>Paradip</t>
  </si>
  <si>
    <t>19.09.2026</t>
  </si>
  <si>
    <t>Nominated</t>
  </si>
  <si>
    <t>50000          (16.09.26)</t>
  </si>
  <si>
    <t>30.10.2026</t>
  </si>
  <si>
    <t>NIL</t>
  </si>
  <si>
    <t xml:space="preserve">  RTPP Rake dropped at NTTPS</t>
  </si>
  <si>
    <t>17.09.2026</t>
  </si>
  <si>
    <t>Coal Stoack in Vessel/transist</t>
  </si>
  <si>
    <t>Coal Stock at Krishnapatnam Port       ( A/c of Adani )</t>
  </si>
  <si>
    <t>Coal Stock at Krishnapatnam Port       (  A/c of MBG )</t>
  </si>
  <si>
    <t>Coal Stock at ENNORE Port               (  A/c of Ripley )</t>
  </si>
  <si>
    <t>Coal Stock at Kakinada Port             (    A/c of Sarat )</t>
  </si>
  <si>
    <t>Coal Stock at Kakinada Port             (   A/c of  KCT )</t>
  </si>
  <si>
    <t>NTTPS &amp; RTPP Total  Stocks</t>
  </si>
  <si>
    <t>MV RIPLEY PINNACLE ((  ENNORE )- RTPP  )</t>
  </si>
  <si>
    <t>45</t>
  </si>
  <si>
    <t>Kakinada</t>
  </si>
  <si>
    <t>18.09.2026</t>
  </si>
  <si>
    <t xml:space="preserve">Pending </t>
  </si>
  <si>
    <t>AKPK (  ADANI PORT   ) passing    Yerraguntla  ( 24 )</t>
  </si>
  <si>
    <t>20.09.26</t>
  </si>
  <si>
    <t>19-09.2026</t>
  </si>
  <si>
    <t>MV  LILA  FUJI   (   KCT  to NTTPS  )</t>
  </si>
  <si>
    <t xml:space="preserve">Paradip </t>
  </si>
  <si>
    <t>22.09.2026</t>
  </si>
  <si>
    <t xml:space="preserve">Unloading </t>
  </si>
  <si>
    <t>15.09.26</t>
  </si>
  <si>
    <t>AKPK (  ADANI PORT   ) passing    Cuddapah (  63 )</t>
  </si>
  <si>
    <t>AKPK (  ADANI PORT   ) passing    Nandalur  (  103 )</t>
  </si>
  <si>
    <t>Washed Coal (   SSMT  ) passing    Silo  Spur Siding (  930 )</t>
  </si>
  <si>
    <t>MV RIPLEY PRIDE ((  ENNORE )- RTPP  )</t>
  </si>
  <si>
    <t>21.09.2026</t>
  </si>
  <si>
    <t>20.09.2026</t>
  </si>
  <si>
    <t xml:space="preserve">Completed </t>
  </si>
  <si>
    <t xml:space="preserve"> Rakes  in pipeline as on  21.09.2026@10.00 Hrs 
</t>
  </si>
  <si>
    <t>21.09.26</t>
  </si>
  <si>
    <t>Railway E- payment Status as on Today: 21.09.2026</t>
  </si>
  <si>
    <t>IB (  LMGB  )</t>
  </si>
  <si>
    <t>04.45</t>
  </si>
  <si>
    <t>01.00</t>
  </si>
  <si>
    <t>KSLK  (  Kakinada Port )</t>
  </si>
  <si>
    <t>02.00</t>
  </si>
  <si>
    <t>04.10</t>
  </si>
  <si>
    <t>31</t>
  </si>
  <si>
    <t>Washed  Coal (  SSMT  )</t>
  </si>
  <si>
    <t>07.45</t>
  </si>
  <si>
    <t>IB  (  MLGB  - Washed Coal  )</t>
  </si>
  <si>
    <t>07.35</t>
  </si>
  <si>
    <t xml:space="preserve">Loading </t>
  </si>
  <si>
    <t>ECL (  POCP - High Grade Coal) passing  Kottavalasa  (  675 )</t>
  </si>
  <si>
    <t>ECL (  POCP - High Grade Coal) passing Naupada  Junction (  826 )</t>
  </si>
  <si>
    <t>ECL (  POCP - High Grade Coal) passing Chandrakona Road   (  1460 )</t>
  </si>
  <si>
    <t>ECL (  PSEC - High Grade Coal) passing  Joychandi  Pahar (  1563 )</t>
  </si>
  <si>
    <t>ECL (  POCP - High Grade Coal) passing  Haridaspur  (  1159 )</t>
  </si>
  <si>
    <t>IB (  MLGB - Washed Coal   ) passing   Proddatur  (  38 )</t>
  </si>
  <si>
    <t>AIPO (  ENNORE PORT   ) passing    Obulavaripalle  (  134 )</t>
  </si>
  <si>
    <t>AKPK (  ADANI PORT   ) passing    Cherlopalli  (  156  )</t>
  </si>
  <si>
    <t>AIPO (  ENNORE PORT   ) passing    Attipattu  (  345 )</t>
  </si>
  <si>
    <t>AIPO (  ENNORE PORT   ) passing    Tiruvottiyur ( 332 )</t>
  </si>
  <si>
    <t>AKPK (  ADANI PORT   ) passing    Krishnapatnam  (  244  )</t>
  </si>
  <si>
    <t>IB (  MLGB - Washed Coal   ) passing   Indupalli  (  477 )</t>
  </si>
  <si>
    <t>IB (  MLGB - Washed Coal   ) passing   Chebrol  (  540 )</t>
  </si>
  <si>
    <t>IB (  MLGB - Washed Coal   ) passing   Krishna  Canal (  433 )</t>
  </si>
  <si>
    <t>IB (  MLGB - Washed Coal   ) passing   Gajapatinagaram (  866 )</t>
  </si>
  <si>
    <t>IB (  BOMB - Washed Coal   ) passing   Lajkura  Cabin (  1352 )</t>
  </si>
  <si>
    <t>IB (  BOMB - Washed Coal   ) passing   Earth Minerals Company Limited (  1357 )</t>
  </si>
  <si>
    <t>KSLK  (  Kakinada Port  ) passing    Gunadala  (  23 )</t>
  </si>
  <si>
    <t>ECL (  PSBP - High Grade Coal) passing Gunadala  (  23 )</t>
  </si>
  <si>
    <t>ECL (  PSBP - High Grade Coal) passing Telaprolu (  48  )</t>
  </si>
  <si>
    <t>IB (   LOCM ) passing    Eluru  (  76 )</t>
  </si>
  <si>
    <t>KSLK  (  Kakinada Port  ) passing    Bhimavaram  A Cabin (  127 )</t>
  </si>
  <si>
    <t>IB (   LOCM ) passing    Nidadavolu  (  144 )</t>
  </si>
  <si>
    <t>IB (   BOCP  ) passing    Rajahmundry  (   166  )</t>
  </si>
  <si>
    <t>IB (   LOCM ) passing     Samalkot  (  216 )</t>
  </si>
  <si>
    <t>KSLK  (  Kakinada Port  ) passing    Kakinada  Sea  Port  (  232 )</t>
  </si>
  <si>
    <t>Washed  Coal (   SSMT ) passing   Simhachalam  North (  363 )</t>
  </si>
  <si>
    <t>Washed  Coal (   SSMT ) passing   Duvvada  (  350 )</t>
  </si>
  <si>
    <t>IB (   BOCB  ) passing    Korukonda ( 404  )</t>
  </si>
  <si>
    <t>ECL (  PSBP - High Grade Coal) passing  Vizianagaram     (  414 )</t>
  </si>
  <si>
    <t>IB (   BOCB  ) passing    Donkinavalasa  (  456 )</t>
  </si>
  <si>
    <t>Washed Coal (   SSMT  ) passing    Muniguda  (   592. )</t>
  </si>
  <si>
    <t>IB (   BOCP  ) passing    Lanjigarh  Road (  630 )</t>
  </si>
  <si>
    <t>Washed Coal (   SSMT  ) passing    Khurda  Road (   777. )</t>
  </si>
  <si>
    <t>IB (   LOCM ) passing     Sambalpur (  859 )</t>
  </si>
  <si>
    <t>IB (   BOCG ) passing    Akaltara (  1013 )</t>
  </si>
  <si>
    <t>ECL (  PSBP - High Grade Coal) passing Pandabeswar   (  1350 )</t>
  </si>
  <si>
    <t>Washed  Coal (   SSMT ) passing   Chagallu  (  153 )</t>
  </si>
  <si>
    <t>ECL  (  PSBP  -  High  Grade Coal )</t>
  </si>
  <si>
    <t>09.15</t>
  </si>
  <si>
    <t>58  Balance</t>
  </si>
  <si>
    <t>55 Balance</t>
  </si>
  <si>
    <t xml:space="preserve">Discharged </t>
  </si>
  <si>
    <t xml:space="preserve">28 Balance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</si>
</sst>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43" formatCode="_ * #,##0.00_ ;_ * \-#,##0.00_ ;_ * &quot;-&quot;??_ ;_ @_ "/>
    <numFmt numFmtId="164" formatCode="_ * #,##0_ ;_ * \-#,##0_ ;_ * &quot;-&quot;??_ ;_ @_ "/>
    <numFmt numFmtId="165" formatCode="#,##0.00_ ;\-#,##0.00\ "/>
    <numFmt numFmtId="166" formatCode="_ * #,##0.0_ ;_ * \-#,##0.0_ ;_ * &quot;-&quot;??_ ;_ @_ "/>
    <numFmt numFmtId="167" formatCode="0.000"/>
    <numFmt numFmtId="168" formatCode="dd\.mm\.yyyy"/>
    <numFmt numFmtId="169" formatCode="0.0"/>
    <numFmt numFmtId="170" formatCode="0.00_ "/>
  </numFmts>
  <fonts count="105" x14ac:knownFonts="1">
    <font>
      <sz val="10"/>
      <name val="Arial"/>
    </font>
    <font>
      <sz val="10"/>
      <name val="Calibri"/>
      <family val="2"/>
    </font>
    <font>
      <sz val="10"/>
      <name val="Arial"/>
      <family val="2"/>
    </font>
    <font>
      <b/>
      <i/>
      <sz val="12"/>
      <color rgb="FF000000"/>
      <name val="Trebuchet MS"/>
      <family val="2"/>
    </font>
    <font>
      <b/>
      <sz val="10"/>
      <name val="Arial"/>
      <family val="2"/>
    </font>
    <font>
      <sz val="16"/>
      <color rgb="FF000000"/>
      <name val="Trebuchet MS"/>
      <family val="2"/>
    </font>
    <font>
      <b/>
      <sz val="16"/>
      <color rgb="FF0070C0"/>
      <name val="Trebuchet MS"/>
      <family val="2"/>
    </font>
    <font>
      <b/>
      <sz val="16"/>
      <color rgb="FF000000"/>
      <name val="Trebuchet MS"/>
      <family val="2"/>
    </font>
    <font>
      <sz val="16"/>
      <name val="Trebuchet MS"/>
      <family val="2"/>
    </font>
    <font>
      <b/>
      <i/>
      <sz val="12"/>
      <color rgb="FF000000"/>
      <name val="Trebuchet MS"/>
      <family val="2"/>
    </font>
    <font>
      <b/>
      <i/>
      <sz val="16"/>
      <color rgb="FF000000"/>
      <name val="Trebuchet MS"/>
      <family val="2"/>
    </font>
    <font>
      <sz val="16"/>
      <color rgb="FF000000"/>
      <name val="Trebuchet MS"/>
      <family val="2"/>
    </font>
    <font>
      <sz val="14"/>
      <color rgb="FF000000"/>
      <name val="Trebuchet MS"/>
      <family val="2"/>
    </font>
    <font>
      <b/>
      <sz val="16"/>
      <name val="Trebuchet MS"/>
      <family val="2"/>
    </font>
    <font>
      <sz val="10"/>
      <name val="Arial"/>
      <family val="2"/>
    </font>
    <font>
      <sz val="10"/>
      <name val="Trebuchet MS"/>
      <family val="2"/>
    </font>
    <font>
      <b/>
      <sz val="16"/>
      <name val="Arial"/>
      <family val="2"/>
    </font>
    <font>
      <b/>
      <sz val="16"/>
      <color rgb="FF000000"/>
      <name val="Trebuchet MS"/>
      <family val="2"/>
    </font>
    <font>
      <sz val="16"/>
      <name val="Arial"/>
      <family val="2"/>
    </font>
    <font>
      <sz val="18"/>
      <name val="Trebuchet MS"/>
      <family val="2"/>
    </font>
    <font>
      <sz val="18"/>
      <name val="Book Antiqua"/>
      <family val="1"/>
    </font>
    <font>
      <b/>
      <sz val="18"/>
      <color indexed="10"/>
      <name val="Times New Roman"/>
      <family val="1"/>
    </font>
    <font>
      <b/>
      <sz val="18"/>
      <name val="Times New Roman"/>
      <family val="1"/>
    </font>
    <font>
      <b/>
      <sz val="18"/>
      <color rgb="FF00B050"/>
      <name val="Times New Roman"/>
      <family val="1"/>
    </font>
    <font>
      <b/>
      <sz val="18"/>
      <color rgb="FF00B050"/>
      <name val="Arial"/>
      <family val="2"/>
    </font>
    <font>
      <sz val="18"/>
      <color rgb="FF00B050"/>
      <name val="Arial"/>
      <family val="2"/>
    </font>
    <font>
      <b/>
      <sz val="16"/>
      <color rgb="FF00B050"/>
      <name val="Arial"/>
      <family val="2"/>
    </font>
    <font>
      <b/>
      <sz val="18"/>
      <name val="Arial Narrow"/>
      <family val="2"/>
    </font>
    <font>
      <b/>
      <sz val="18"/>
      <color rgb="FF00B050"/>
      <name val="Arial Narrow"/>
      <family val="2"/>
    </font>
    <font>
      <sz val="10"/>
      <name val="Arial"/>
      <family val="2"/>
    </font>
    <font>
      <b/>
      <sz val="16"/>
      <color rgb="FF92D050"/>
      <name val="Arial"/>
      <family val="2"/>
    </font>
    <font>
      <b/>
      <sz val="20"/>
      <color rgb="FFFF0000"/>
      <name val="Arial"/>
      <family val="2"/>
    </font>
    <font>
      <b/>
      <sz val="10"/>
      <color rgb="FFFF0000"/>
      <name val="Arial"/>
      <family val="2"/>
    </font>
    <font>
      <sz val="16"/>
      <name val="Trebuchet MS"/>
      <family val="2"/>
    </font>
    <font>
      <sz val="16"/>
      <color rgb="FFFF0000"/>
      <name val="Trebuchet MS"/>
      <family val="2"/>
    </font>
    <font>
      <sz val="18"/>
      <name val="Trebuchet MS"/>
      <family val="2"/>
    </font>
    <font>
      <sz val="21"/>
      <name val="Trebuchet MS"/>
      <family val="2"/>
    </font>
    <font>
      <sz val="6"/>
      <name val="Yu Gothic"/>
      <family val="2"/>
      <charset val="128"/>
    </font>
    <font>
      <sz val="18"/>
      <name val="Arial"/>
      <family val="2"/>
    </font>
    <font>
      <sz val="21"/>
      <color rgb="FFFF0000"/>
      <name val="Trebuchet MS"/>
      <family val="2"/>
    </font>
    <font>
      <i/>
      <sz val="16"/>
      <color theme="1"/>
      <name val="Trebuchet MS"/>
      <family val="2"/>
    </font>
    <font>
      <b/>
      <sz val="16"/>
      <color rgb="FFFF0000"/>
      <name val="Arial"/>
      <family val="2"/>
    </font>
    <font>
      <sz val="18"/>
      <color theme="1"/>
      <name val="Trebuchet MS"/>
      <family val="2"/>
    </font>
    <font>
      <sz val="18"/>
      <color rgb="FF00B050"/>
      <name val="Trebuchet MS"/>
      <family val="2"/>
    </font>
    <font>
      <sz val="16"/>
      <color theme="1"/>
      <name val="Trebuchet MS"/>
      <family val="2"/>
    </font>
    <font>
      <i/>
      <sz val="16"/>
      <color rgb="FFC00000"/>
      <name val="Trebuchet MS"/>
      <family val="2"/>
    </font>
    <font>
      <b/>
      <i/>
      <sz val="16"/>
      <color theme="1"/>
      <name val="Trebuchet MS"/>
      <family val="2"/>
    </font>
    <font>
      <b/>
      <sz val="16"/>
      <color theme="1"/>
      <name val="Trebuchet MS"/>
      <family val="2"/>
    </font>
    <font>
      <sz val="12"/>
      <color rgb="FF000000"/>
      <name val="Trebuchet MS"/>
      <family val="2"/>
    </font>
    <font>
      <b/>
      <sz val="12"/>
      <color rgb="FF000000"/>
      <name val="Trebuchet MS"/>
      <family val="2"/>
    </font>
    <font>
      <sz val="12"/>
      <name val="Trebuchet MS"/>
      <family val="2"/>
    </font>
    <font>
      <b/>
      <i/>
      <u/>
      <sz val="12"/>
      <color rgb="FFC00000"/>
      <name val="Trebuchet MS"/>
      <family val="2"/>
    </font>
    <font>
      <b/>
      <i/>
      <sz val="12"/>
      <color rgb="FF7030A0"/>
      <name val="Trebuchet MS"/>
      <family val="2"/>
    </font>
    <font>
      <sz val="15"/>
      <color theme="1"/>
      <name val="Arial"/>
      <family val="2"/>
    </font>
    <font>
      <b/>
      <sz val="15"/>
      <color rgb="FFFF0000"/>
      <name val="Arial"/>
      <family val="2"/>
    </font>
    <font>
      <sz val="15"/>
      <color theme="1"/>
      <name val="Trebuchet MS"/>
      <family val="2"/>
    </font>
    <font>
      <sz val="15"/>
      <name val="Arial"/>
      <family val="2"/>
    </font>
    <font>
      <sz val="15"/>
      <color rgb="FF000000"/>
      <name val="Trebuchet MS"/>
      <family val="2"/>
    </font>
    <font>
      <sz val="14"/>
      <color theme="1"/>
      <name val="Trebuchet MS"/>
      <family val="2"/>
    </font>
    <font>
      <sz val="14"/>
      <name val="Trebuchet MS"/>
      <family val="2"/>
    </font>
    <font>
      <i/>
      <sz val="16"/>
      <color rgb="FF000000"/>
      <name val="Trebuchet MS"/>
      <family val="2"/>
    </font>
    <font>
      <sz val="14"/>
      <color rgb="FFFF0000"/>
      <name val="Arial"/>
      <family val="2"/>
    </font>
    <font>
      <b/>
      <sz val="18"/>
      <color rgb="FFFF0000"/>
      <name val="Arial"/>
      <family val="2"/>
    </font>
    <font>
      <b/>
      <u/>
      <sz val="18"/>
      <name val="Times New Roman"/>
      <family val="1"/>
    </font>
    <font>
      <b/>
      <u/>
      <sz val="18"/>
      <name val="Arial"/>
      <family val="2"/>
    </font>
    <font>
      <b/>
      <sz val="18"/>
      <name val="Arial"/>
      <family val="2"/>
    </font>
    <font>
      <b/>
      <sz val="18"/>
      <color rgb="FFFFFFFF"/>
      <name val="Arial"/>
      <family val="2"/>
    </font>
    <font>
      <sz val="20"/>
      <name val="Times New Roman"/>
      <family val="1"/>
    </font>
    <font>
      <sz val="20"/>
      <name val="Arial"/>
      <family val="2"/>
    </font>
    <font>
      <sz val="22"/>
      <name val="Times New Roman"/>
      <family val="1"/>
    </font>
    <font>
      <b/>
      <sz val="22"/>
      <color rgb="FFFF0000"/>
      <name val="Times New Roman"/>
      <family val="1"/>
    </font>
    <font>
      <sz val="22"/>
      <color indexed="8"/>
      <name val="Times New Roman"/>
      <family val="1"/>
    </font>
    <font>
      <b/>
      <sz val="22"/>
      <color indexed="10"/>
      <name val="Times New Roman"/>
      <family val="1"/>
    </font>
    <font>
      <b/>
      <sz val="22"/>
      <name val="Times New Roman"/>
      <family val="1"/>
    </font>
    <font>
      <b/>
      <sz val="16"/>
      <color rgb="FFFF0000"/>
      <name val="Times New Roman"/>
      <family val="1"/>
    </font>
    <font>
      <b/>
      <sz val="14"/>
      <color rgb="FFFF0000"/>
      <name val="Times New Roman"/>
      <family val="1"/>
    </font>
    <font>
      <b/>
      <sz val="12"/>
      <color rgb="FFFF0000"/>
      <name val="Times New Roman"/>
      <family val="1"/>
    </font>
    <font>
      <b/>
      <sz val="10"/>
      <color rgb="FFFF0000"/>
      <name val="Times New Roman"/>
      <family val="1"/>
    </font>
    <font>
      <sz val="10"/>
      <color rgb="FF0070C0"/>
      <name val="Times New Roman"/>
      <family val="1"/>
    </font>
    <font>
      <b/>
      <sz val="10"/>
      <color rgb="FF0070C0"/>
      <name val="Times New Roman"/>
      <family val="1"/>
    </font>
    <font>
      <b/>
      <sz val="10"/>
      <color rgb="FF00B050"/>
      <name val="Times New Roman"/>
      <family val="1"/>
    </font>
    <font>
      <b/>
      <sz val="8"/>
      <color rgb="FFFF0000"/>
      <name val="Times New Roman"/>
      <family val="1"/>
    </font>
    <font>
      <b/>
      <sz val="8"/>
      <color rgb="FF0070C0"/>
      <name val="Times New Roman"/>
      <family val="1"/>
    </font>
    <font>
      <b/>
      <sz val="8"/>
      <color rgb="FFFF0000"/>
      <name val="Arial"/>
      <family val="2"/>
    </font>
    <font>
      <b/>
      <sz val="14"/>
      <name val="Times New Roman"/>
      <family val="1"/>
    </font>
    <font>
      <b/>
      <sz val="16"/>
      <color indexed="10"/>
      <name val="Times New Roman"/>
      <family val="1"/>
    </font>
    <font>
      <b/>
      <sz val="16"/>
      <color rgb="FFC00000"/>
      <name val="Times New Roman"/>
      <family val="1"/>
    </font>
    <font>
      <b/>
      <sz val="16"/>
      <name val="Times New Roman"/>
      <family val="1"/>
    </font>
    <font>
      <sz val="12"/>
      <color rgb="FFFF0000"/>
      <name val="Trebuchet MS"/>
      <family val="2"/>
    </font>
    <font>
      <sz val="18"/>
      <color rgb="FFFF0000"/>
      <name val="Book Antiqua"/>
      <family val="1"/>
    </font>
    <font>
      <b/>
      <sz val="26"/>
      <color rgb="FF00B050"/>
      <name val="Arial"/>
      <family val="2"/>
    </font>
    <font>
      <b/>
      <sz val="26"/>
      <color indexed="10"/>
      <name val="Times New Roman"/>
      <family val="1"/>
    </font>
    <font>
      <b/>
      <sz val="26"/>
      <name val="Times New Roman"/>
      <family val="1"/>
    </font>
    <font>
      <b/>
      <sz val="20"/>
      <color rgb="FF00B050"/>
      <name val="Arial"/>
      <family val="2"/>
    </font>
    <font>
      <b/>
      <sz val="36"/>
      <name val="Arial"/>
      <family val="2"/>
    </font>
    <font>
      <b/>
      <i/>
      <sz val="14"/>
      <color rgb="FF7030A0"/>
      <name val="Trebuchet MS"/>
      <family val="2"/>
    </font>
    <font>
      <u/>
      <sz val="16"/>
      <name val="Trebuchet MS"/>
      <family val="2"/>
    </font>
    <font>
      <u/>
      <sz val="12"/>
      <name val="Trebuchet MS"/>
      <family val="2"/>
    </font>
    <font>
      <u/>
      <sz val="18"/>
      <name val="Trebuchet MS"/>
      <family val="2"/>
    </font>
    <font>
      <sz val="14"/>
      <color rgb="FFFF0000"/>
      <name val="Book Antiqua"/>
      <family val="1"/>
    </font>
    <font>
      <sz val="14"/>
      <name val="Arial"/>
      <family val="2"/>
    </font>
    <font>
      <sz val="12"/>
      <color rgb="FFFF0000"/>
      <name val="Arial"/>
      <family val="2"/>
    </font>
    <font>
      <b/>
      <sz val="14"/>
      <color rgb="FF00B050"/>
      <name val="Arial"/>
      <family val="2"/>
    </font>
    <font>
      <b/>
      <sz val="12"/>
      <color rgb="FF00B050"/>
      <name val="Arial"/>
      <family val="2"/>
    </font>
    <font>
      <sz val="11"/>
      <name val="Arial"/>
      <family val="2"/>
    </font>
  </fonts>
  <fills count="24">
    <fill>
      <patternFill patternType="none"/>
    </fill>
    <fill>
      <patternFill patternType="gray125"/>
    </fill>
    <fill>
      <patternFill patternType="solid">
        <fgColor rgb="FFFDE9D9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E5DFEC"/>
        <bgColor indexed="64"/>
      </patternFill>
    </fill>
    <fill>
      <patternFill patternType="solid">
        <fgColor rgb="FFFBD4B4"/>
        <bgColor indexed="64"/>
      </patternFill>
    </fill>
    <fill>
      <patternFill patternType="none">
        <bgColor indexed="64"/>
      </patternFill>
    </fill>
    <fill>
      <patternFill patternType="solid">
        <fgColor rgb="FFB7DDE8"/>
        <bgColor indexed="64"/>
      </patternFill>
    </fill>
    <fill>
      <patternFill patternType="solid">
        <fgColor rgb="FFDBEEF3"/>
        <bgColor indexed="64"/>
      </patternFill>
    </fill>
    <fill>
      <patternFill patternType="solid">
        <fgColor rgb="FFD6E3BC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6" tint="0.39997558519241921"/>
        <bgColor indexed="64"/>
      </patternFill>
    </fill>
  </fills>
  <borders count="6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0"/>
      </bottom>
      <diagonal/>
    </border>
    <border>
      <left/>
      <right style="thin">
        <color indexed="0"/>
      </right>
      <top style="thin">
        <color indexed="64"/>
      </top>
      <bottom style="thin">
        <color indexed="0"/>
      </bottom>
      <diagonal/>
    </border>
    <border>
      <left style="thin">
        <color indexed="0"/>
      </left>
      <right style="thin">
        <color indexed="0"/>
      </right>
      <top style="thin">
        <color indexed="0"/>
      </top>
      <bottom style="thin">
        <color indexed="0"/>
      </bottom>
      <diagonal/>
    </border>
    <border>
      <left style="thin">
        <color indexed="64"/>
      </left>
      <right/>
      <top style="thin">
        <color indexed="0"/>
      </top>
      <bottom style="thin">
        <color indexed="0"/>
      </bottom>
      <diagonal/>
    </border>
    <border>
      <left/>
      <right style="thin">
        <color indexed="0"/>
      </right>
      <top style="thin">
        <color indexed="0"/>
      </top>
      <bottom style="thin">
        <color indexed="0"/>
      </bottom>
      <diagonal/>
    </border>
    <border>
      <left style="thin">
        <color indexed="0"/>
      </left>
      <right/>
      <top style="thin">
        <color indexed="64"/>
      </top>
      <bottom style="thin">
        <color indexed="0"/>
      </bottom>
      <diagonal/>
    </border>
    <border>
      <left style="thin">
        <color indexed="0"/>
      </left>
      <right/>
      <top style="thin">
        <color indexed="0"/>
      </top>
      <bottom style="thin">
        <color indexed="0"/>
      </bottom>
      <diagonal/>
    </border>
    <border>
      <left/>
      <right/>
      <top style="thin">
        <color indexed="64"/>
      </top>
      <bottom style="thin">
        <color indexed="0"/>
      </bottom>
      <diagonal/>
    </border>
    <border>
      <left/>
      <right/>
      <top style="thin">
        <color indexed="0"/>
      </top>
      <bottom style="thin">
        <color indexed="0"/>
      </bottom>
      <diagonal/>
    </border>
    <border>
      <left/>
      <right style="thin">
        <color indexed="64"/>
      </right>
      <top style="thin">
        <color indexed="64"/>
      </top>
      <bottom style="thin">
        <color indexed="0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thin">
        <color rgb="FF505050"/>
      </left>
      <right style="medium">
        <color indexed="64"/>
      </right>
      <top style="thin">
        <color rgb="FF505050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thin">
        <color rgb="FF505050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rgb="FF505050"/>
      </left>
      <right style="thin">
        <color rgb="FF505050"/>
      </right>
      <top style="thin">
        <color rgb="FF505050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rgb="FF505050"/>
      </left>
      <right/>
      <top style="thin">
        <color indexed="64"/>
      </top>
      <bottom style="medium">
        <color indexed="64"/>
      </bottom>
      <diagonal/>
    </border>
    <border>
      <left/>
      <right style="thin">
        <color rgb="FF505050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rgb="FF505050"/>
      </left>
      <right style="thin">
        <color rgb="FF505050"/>
      </right>
      <top style="thin">
        <color rgb="FF505050"/>
      </top>
      <bottom style="thin">
        <color rgb="FF505050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rgb="FF505050"/>
      </left>
      <right style="thin">
        <color rgb="FF505050"/>
      </right>
      <top/>
      <bottom style="thin">
        <color rgb="FF505050"/>
      </bottom>
      <diagonal/>
    </border>
  </borders>
  <cellStyleXfs count="2">
    <xf numFmtId="0" fontId="0" fillId="0" borderId="0">
      <alignment vertical="center"/>
    </xf>
    <xf numFmtId="43" fontId="29" fillId="0" borderId="0">
      <protection locked="0"/>
    </xf>
  </cellStyleXfs>
  <cellXfs count="581">
    <xf numFmtId="0" fontId="0" fillId="0" borderId="0" xfId="0">
      <alignment vertical="center"/>
    </xf>
    <xf numFmtId="0" fontId="1" fillId="0" borderId="0" xfId="0" applyFont="1" applyAlignment="1"/>
    <xf numFmtId="0" fontId="2" fillId="0" borderId="0" xfId="0" applyFont="1" applyAlignment="1">
      <alignment horizontal="center"/>
    </xf>
    <xf numFmtId="0" fontId="3" fillId="0" borderId="0" xfId="0" applyFont="1" applyAlignment="1"/>
    <xf numFmtId="0" fontId="5" fillId="0" borderId="0" xfId="0" applyFont="1" applyAlignment="1"/>
    <xf numFmtId="0" fontId="7" fillId="0" borderId="0" xfId="0" applyFont="1" applyAlignment="1">
      <alignment horizontal="center" vertical="center" wrapText="1"/>
    </xf>
    <xf numFmtId="0" fontId="8" fillId="0" borderId="0" xfId="0" applyFont="1" applyAlignment="1">
      <alignment horizontal="center"/>
    </xf>
    <xf numFmtId="0" fontId="8" fillId="0" borderId="0" xfId="0" applyFont="1" applyAlignment="1"/>
    <xf numFmtId="0" fontId="11" fillId="3" borderId="0" xfId="0" applyFont="1" applyFill="1" applyAlignment="1">
      <alignment vertical="top"/>
    </xf>
    <xf numFmtId="0" fontId="5" fillId="0" borderId="0" xfId="0" applyFont="1" applyAlignment="1">
      <alignment vertical="top"/>
    </xf>
    <xf numFmtId="0" fontId="5" fillId="0" borderId="0" xfId="0" applyFont="1" applyAlignment="1">
      <alignment horizontal="center" vertical="top" wrapText="1"/>
    </xf>
    <xf numFmtId="0" fontId="7" fillId="0" borderId="0" xfId="0" applyFont="1" applyAlignment="1">
      <alignment horizontal="center" vertical="center"/>
    </xf>
    <xf numFmtId="164" fontId="5" fillId="0" borderId="0" xfId="1" applyNumberFormat="1" applyFont="1" applyAlignment="1" applyProtection="1">
      <alignment horizontal="right"/>
    </xf>
    <xf numFmtId="0" fontId="14" fillId="0" borderId="0" xfId="0" applyFont="1" applyAlignment="1">
      <alignment vertical="center" wrapText="1"/>
    </xf>
    <xf numFmtId="0" fontId="3" fillId="0" borderId="0" xfId="0" applyFont="1" applyAlignment="1">
      <alignment wrapText="1"/>
    </xf>
    <xf numFmtId="164" fontId="5" fillId="0" borderId="0" xfId="1" applyNumberFormat="1" applyFont="1" applyAlignment="1" applyProtection="1">
      <alignment horizontal="center" wrapText="1"/>
    </xf>
    <xf numFmtId="164" fontId="13" fillId="3" borderId="0" xfId="0" applyNumberFormat="1" applyFont="1" applyFill="1" applyAlignment="1">
      <alignment wrapText="1"/>
    </xf>
    <xf numFmtId="164" fontId="5" fillId="0" borderId="0" xfId="1" applyNumberFormat="1" applyFont="1" applyAlignment="1" applyProtection="1">
      <alignment horizontal="center"/>
    </xf>
    <xf numFmtId="164" fontId="13" fillId="3" borderId="0" xfId="0" applyNumberFormat="1" applyFont="1" applyFill="1" applyAlignment="1"/>
    <xf numFmtId="164" fontId="5" fillId="0" borderId="0" xfId="1" applyNumberFormat="1" applyFont="1" applyProtection="1"/>
    <xf numFmtId="0" fontId="9" fillId="0" borderId="0" xfId="0" applyFont="1" applyAlignment="1">
      <alignment horizontal="center" vertical="center" wrapText="1"/>
    </xf>
    <xf numFmtId="0" fontId="5" fillId="0" borderId="0" xfId="0" applyFont="1" applyAlignment="1">
      <alignment horizontal="center"/>
    </xf>
    <xf numFmtId="164" fontId="17" fillId="0" borderId="0" xfId="1" applyNumberFormat="1" applyFont="1" applyAlignment="1" applyProtection="1">
      <alignment horizontal="right" wrapText="1"/>
    </xf>
    <xf numFmtId="0" fontId="4" fillId="0" borderId="0" xfId="0" applyFont="1" applyAlignment="1"/>
    <xf numFmtId="0" fontId="22" fillId="5" borderId="1" xfId="0" applyFont="1" applyFill="1" applyBorder="1" applyAlignment="1">
      <alignment horizontal="center" vertical="center" wrapText="1"/>
    </xf>
    <xf numFmtId="2" fontId="21" fillId="2" borderId="1" xfId="0" applyNumberFormat="1" applyFont="1" applyFill="1" applyBorder="1" applyAlignment="1">
      <alignment horizontal="center" vertical="center" wrapText="1"/>
    </xf>
    <xf numFmtId="1" fontId="23" fillId="7" borderId="1" xfId="0" applyNumberFormat="1" applyFont="1" applyFill="1" applyBorder="1" applyAlignment="1">
      <alignment horizontal="center" vertical="center" wrapText="1"/>
    </xf>
    <xf numFmtId="1" fontId="23" fillId="7" borderId="14" xfId="0" applyNumberFormat="1" applyFont="1" applyFill="1" applyBorder="1" applyAlignment="1">
      <alignment horizontal="center" vertical="center" wrapText="1"/>
    </xf>
    <xf numFmtId="49" fontId="23" fillId="8" borderId="1" xfId="0" applyNumberFormat="1" applyFont="1" applyFill="1" applyBorder="1" applyAlignment="1">
      <alignment horizontal="center" vertical="center" wrapText="1"/>
    </xf>
    <xf numFmtId="1" fontId="23" fillId="7" borderId="11" xfId="0" applyNumberFormat="1" applyFont="1" applyFill="1" applyBorder="1" applyAlignment="1">
      <alignment horizontal="center" vertical="center" wrapText="1"/>
    </xf>
    <xf numFmtId="0" fontId="23" fillId="7" borderId="1" xfId="0" applyFont="1" applyFill="1" applyBorder="1" applyAlignment="1">
      <alignment horizontal="center" vertical="center" wrapText="1"/>
    </xf>
    <xf numFmtId="0" fontId="24" fillId="7" borderId="1" xfId="0" applyFont="1" applyFill="1" applyBorder="1" applyAlignment="1">
      <alignment horizontal="center" vertical="center"/>
    </xf>
    <xf numFmtId="1" fontId="24" fillId="7" borderId="1" xfId="0" applyNumberFormat="1" applyFont="1" applyFill="1" applyBorder="1" applyAlignment="1">
      <alignment horizontal="center" vertical="center" wrapText="1"/>
    </xf>
    <xf numFmtId="0" fontId="25" fillId="7" borderId="1" xfId="0" applyFont="1" applyFill="1" applyBorder="1" applyAlignment="1">
      <alignment horizontal="center"/>
    </xf>
    <xf numFmtId="0" fontId="2" fillId="0" borderId="0" xfId="0" applyFont="1" applyAlignment="1"/>
    <xf numFmtId="0" fontId="18" fillId="0" borderId="0" xfId="0" applyFont="1" applyAlignment="1">
      <alignment horizontal="center"/>
    </xf>
    <xf numFmtId="1" fontId="31" fillId="0" borderId="0" xfId="0" applyNumberFormat="1" applyFont="1" applyAlignment="1"/>
    <xf numFmtId="1" fontId="31" fillId="0" borderId="0" xfId="0" applyNumberFormat="1" applyFont="1" applyAlignment="1">
      <alignment wrapText="1"/>
    </xf>
    <xf numFmtId="0" fontId="19" fillId="0" borderId="0" xfId="0" applyFont="1" applyAlignment="1">
      <alignment horizontal="left" vertical="center"/>
    </xf>
    <xf numFmtId="0" fontId="36" fillId="0" borderId="0" xfId="0" applyFont="1" applyAlignment="1">
      <alignment horizontal="left" vertical="center"/>
    </xf>
    <xf numFmtId="0" fontId="0" fillId="0" borderId="0" xfId="0" applyAlignment="1">
      <alignment vertical="top"/>
    </xf>
    <xf numFmtId="0" fontId="33" fillId="0" borderId="0" xfId="0" applyFont="1" applyAlignment="1">
      <alignment horizontal="left" vertical="center"/>
    </xf>
    <xf numFmtId="0" fontId="39" fillId="0" borderId="0" xfId="0" applyFont="1">
      <alignment vertical="center"/>
    </xf>
    <xf numFmtId="0" fontId="7" fillId="0" borderId="0" xfId="0" applyFont="1" applyAlignment="1">
      <alignment horizontal="center"/>
    </xf>
    <xf numFmtId="0" fontId="10" fillId="0" borderId="0" xfId="0" applyFont="1" applyAlignment="1">
      <alignment horizontal="center" vertical="center" wrapText="1"/>
    </xf>
    <xf numFmtId="164" fontId="7" fillId="0" borderId="0" xfId="1" applyNumberFormat="1" applyFont="1" applyAlignment="1" applyProtection="1">
      <alignment horizontal="right" wrapText="1"/>
    </xf>
    <xf numFmtId="164" fontId="7" fillId="0" borderId="0" xfId="1" applyNumberFormat="1" applyFont="1" applyAlignment="1" applyProtection="1">
      <alignment horizontal="right" vertical="center"/>
    </xf>
    <xf numFmtId="165" fontId="7" fillId="0" borderId="0" xfId="1" applyNumberFormat="1" applyFont="1" applyProtection="1"/>
    <xf numFmtId="165" fontId="7" fillId="0" borderId="0" xfId="1" applyNumberFormat="1" applyFont="1" applyAlignment="1" applyProtection="1">
      <alignment horizontal="right" vertical="center"/>
    </xf>
    <xf numFmtId="0" fontId="5" fillId="0" borderId="1" xfId="0" applyFont="1" applyBorder="1" applyAlignment="1">
      <alignment horizontal="center"/>
    </xf>
    <xf numFmtId="0" fontId="5" fillId="0" borderId="30" xfId="0" applyFont="1" applyBorder="1" applyAlignment="1">
      <alignment horizontal="center"/>
    </xf>
    <xf numFmtId="0" fontId="7" fillId="0" borderId="0" xfId="0" applyFont="1" applyAlignment="1">
      <alignment horizontal="left"/>
    </xf>
    <xf numFmtId="0" fontId="15" fillId="0" borderId="0" xfId="0" applyFont="1" applyAlignment="1">
      <alignment horizontal="left"/>
    </xf>
    <xf numFmtId="0" fontId="15" fillId="0" borderId="5" xfId="0" applyFont="1" applyBorder="1" applyAlignment="1">
      <alignment horizontal="left"/>
    </xf>
    <xf numFmtId="164" fontId="5" fillId="0" borderId="15" xfId="1" applyNumberFormat="1" applyFont="1" applyBorder="1" applyAlignment="1" applyProtection="1">
      <alignment horizontal="right"/>
    </xf>
    <xf numFmtId="164" fontId="5" fillId="0" borderId="15" xfId="1" applyNumberFormat="1" applyFont="1" applyBorder="1" applyProtection="1"/>
    <xf numFmtId="164" fontId="5" fillId="0" borderId="15" xfId="1" applyNumberFormat="1" applyFont="1" applyBorder="1" applyAlignment="1" applyProtection="1">
      <alignment horizontal="center"/>
    </xf>
    <xf numFmtId="3" fontId="43" fillId="10" borderId="0" xfId="0" applyNumberFormat="1" applyFont="1" applyFill="1" applyAlignment="1">
      <alignment horizontal="center"/>
    </xf>
    <xf numFmtId="0" fontId="7" fillId="0" borderId="42" xfId="0" applyFont="1" applyBorder="1">
      <alignment vertical="center"/>
    </xf>
    <xf numFmtId="0" fontId="7" fillId="0" borderId="0" xfId="0" applyFont="1" applyAlignment="1"/>
    <xf numFmtId="0" fontId="5" fillId="0" borderId="0" xfId="0" applyFont="1" applyProtection="1">
      <alignment vertical="center"/>
      <protection locked="0"/>
    </xf>
    <xf numFmtId="3" fontId="42" fillId="10" borderId="0" xfId="0" applyNumberFormat="1" applyFont="1" applyFill="1" applyAlignment="1">
      <alignment horizontal="center" wrapText="1"/>
    </xf>
    <xf numFmtId="3" fontId="35" fillId="10" borderId="0" xfId="0" applyNumberFormat="1" applyFont="1" applyFill="1" applyAlignment="1">
      <alignment horizontal="right"/>
    </xf>
    <xf numFmtId="0" fontId="47" fillId="0" borderId="0" xfId="0" applyFont="1" applyAlignment="1"/>
    <xf numFmtId="0" fontId="16" fillId="10" borderId="0" xfId="0" applyFont="1" applyFill="1" applyAlignment="1">
      <alignment horizontal="center" vertical="center"/>
    </xf>
    <xf numFmtId="3" fontId="43" fillId="10" borderId="0" xfId="0" applyNumberFormat="1" applyFont="1" applyFill="1" applyAlignment="1"/>
    <xf numFmtId="0" fontId="47" fillId="15" borderId="0" xfId="0" applyFont="1" applyFill="1" applyAlignment="1"/>
    <xf numFmtId="0" fontId="6" fillId="0" borderId="0" xfId="0" applyFont="1">
      <alignment vertical="center"/>
    </xf>
    <xf numFmtId="164" fontId="5" fillId="16" borderId="1" xfId="1" applyNumberFormat="1" applyFont="1" applyFill="1" applyBorder="1" applyAlignment="1" applyProtection="1">
      <alignment horizontal="center"/>
    </xf>
    <xf numFmtId="164" fontId="5" fillId="16" borderId="1" xfId="1" applyNumberFormat="1" applyFont="1" applyFill="1" applyBorder="1" applyAlignment="1" applyProtection="1">
      <alignment horizontal="center" vertical="center"/>
    </xf>
    <xf numFmtId="164" fontId="5" fillId="16" borderId="1" xfId="1" applyNumberFormat="1" applyFont="1" applyFill="1" applyBorder="1" applyAlignment="1" applyProtection="1">
      <alignment horizontal="center" wrapText="1"/>
    </xf>
    <xf numFmtId="164" fontId="5" fillId="16" borderId="30" xfId="1" applyNumberFormat="1" applyFont="1" applyFill="1" applyBorder="1" applyAlignment="1" applyProtection="1">
      <alignment horizontal="center"/>
    </xf>
    <xf numFmtId="164" fontId="5" fillId="16" borderId="32" xfId="1" applyNumberFormat="1" applyFont="1" applyFill="1" applyBorder="1" applyAlignment="1" applyProtection="1">
      <alignment horizontal="center" wrapText="1"/>
    </xf>
    <xf numFmtId="164" fontId="5" fillId="16" borderId="33" xfId="1" applyNumberFormat="1" applyFont="1" applyFill="1" applyBorder="1" applyAlignment="1" applyProtection="1">
      <alignment horizontal="center" wrapText="1"/>
    </xf>
    <xf numFmtId="164" fontId="34" fillId="10" borderId="15" xfId="1" applyNumberFormat="1" applyFont="1" applyFill="1" applyBorder="1" applyAlignment="1" applyProtection="1">
      <alignment horizontal="center" wrapText="1"/>
    </xf>
    <xf numFmtId="164" fontId="5" fillId="10" borderId="15" xfId="1" applyNumberFormat="1" applyFont="1" applyFill="1" applyBorder="1" applyAlignment="1" applyProtection="1">
      <alignment horizontal="center" wrapText="1"/>
    </xf>
    <xf numFmtId="164" fontId="46" fillId="10" borderId="15" xfId="1" applyNumberFormat="1" applyFont="1" applyFill="1" applyBorder="1" applyProtection="1"/>
    <xf numFmtId="0" fontId="7" fillId="14" borderId="15" xfId="0" applyFont="1" applyFill="1" applyBorder="1" applyAlignment="1">
      <alignment horizontal="center"/>
    </xf>
    <xf numFmtId="164" fontId="46" fillId="18" borderId="15" xfId="1" applyNumberFormat="1" applyFont="1" applyFill="1" applyBorder="1" applyProtection="1"/>
    <xf numFmtId="0" fontId="5" fillId="0" borderId="27" xfId="0" applyFont="1" applyBorder="1" applyAlignment="1">
      <alignment horizontal="center"/>
    </xf>
    <xf numFmtId="0" fontId="5" fillId="0" borderId="29" xfId="0" applyFont="1" applyBorder="1" applyAlignment="1"/>
    <xf numFmtId="0" fontId="5" fillId="0" borderId="31" xfId="0" applyFont="1" applyBorder="1" applyAlignment="1"/>
    <xf numFmtId="0" fontId="5" fillId="0" borderId="26" xfId="0" applyFont="1" applyBorder="1" applyAlignment="1"/>
    <xf numFmtId="166" fontId="45" fillId="0" borderId="27" xfId="1" applyNumberFormat="1" applyFont="1" applyBorder="1" applyAlignment="1" applyProtection="1">
      <alignment horizontal="right"/>
    </xf>
    <xf numFmtId="166" fontId="45" fillId="0" borderId="28" xfId="1" applyNumberFormat="1" applyFont="1" applyBorder="1" applyAlignment="1" applyProtection="1">
      <alignment horizontal="right"/>
    </xf>
    <xf numFmtId="0" fontId="2" fillId="0" borderId="0" xfId="0" applyFont="1">
      <alignment vertical="center"/>
    </xf>
    <xf numFmtId="0" fontId="5" fillId="0" borderId="32" xfId="0" applyFont="1" applyBorder="1" applyAlignment="1">
      <alignment horizontal="center"/>
    </xf>
    <xf numFmtId="0" fontId="5" fillId="0" borderId="33" xfId="0" applyFont="1" applyBorder="1" applyAlignment="1">
      <alignment horizontal="center"/>
    </xf>
    <xf numFmtId="0" fontId="6" fillId="16" borderId="27" xfId="0" applyFont="1" applyFill="1" applyBorder="1" applyAlignment="1">
      <alignment horizontal="center" vertical="center"/>
    </xf>
    <xf numFmtId="0" fontId="6" fillId="16" borderId="28" xfId="0" applyFont="1" applyFill="1" applyBorder="1" applyAlignment="1">
      <alignment horizontal="center" vertical="center"/>
    </xf>
    <xf numFmtId="0" fontId="5" fillId="16" borderId="1" xfId="0" applyFont="1" applyFill="1" applyBorder="1" applyAlignment="1">
      <alignment horizontal="center"/>
    </xf>
    <xf numFmtId="0" fontId="5" fillId="16" borderId="30" xfId="0" applyFont="1" applyFill="1" applyBorder="1" applyAlignment="1">
      <alignment horizontal="center"/>
    </xf>
    <xf numFmtId="0" fontId="5" fillId="16" borderId="1" xfId="0" applyFont="1" applyFill="1" applyBorder="1" applyAlignment="1">
      <alignment horizontal="center" vertical="top"/>
    </xf>
    <xf numFmtId="0" fontId="5" fillId="16" borderId="30" xfId="0" applyFont="1" applyFill="1" applyBorder="1" applyAlignment="1">
      <alignment horizontal="center" vertical="top"/>
    </xf>
    <xf numFmtId="0" fontId="5" fillId="16" borderId="33" xfId="0" applyFont="1" applyFill="1" applyBorder="1" applyAlignment="1">
      <alignment horizontal="center" vertical="top"/>
    </xf>
    <xf numFmtId="0" fontId="5" fillId="0" borderId="0" xfId="0" applyFont="1" applyAlignment="1">
      <alignment horizontal="center" vertical="center"/>
    </xf>
    <xf numFmtId="164" fontId="48" fillId="16" borderId="1" xfId="1" applyNumberFormat="1" applyFont="1" applyFill="1" applyBorder="1" applyAlignment="1" applyProtection="1">
      <alignment horizontal="center"/>
    </xf>
    <xf numFmtId="164" fontId="5" fillId="16" borderId="33" xfId="1" applyNumberFormat="1" applyFont="1" applyFill="1" applyBorder="1" applyAlignment="1" applyProtection="1">
      <alignment horizontal="center"/>
    </xf>
    <xf numFmtId="0" fontId="0" fillId="16" borderId="1" xfId="0" applyFill="1" applyBorder="1">
      <alignment vertical="center"/>
    </xf>
    <xf numFmtId="164" fontId="40" fillId="16" borderId="14" xfId="1" applyNumberFormat="1" applyFont="1" applyFill="1" applyBorder="1" applyProtection="1"/>
    <xf numFmtId="166" fontId="46" fillId="16" borderId="53" xfId="1" applyNumberFormat="1" applyFont="1" applyFill="1" applyBorder="1" applyAlignment="1" applyProtection="1">
      <alignment horizontal="right"/>
    </xf>
    <xf numFmtId="164" fontId="46" fillId="16" borderId="1" xfId="1" applyNumberFormat="1" applyFont="1" applyFill="1" applyBorder="1" applyProtection="1"/>
    <xf numFmtId="0" fontId="40" fillId="16" borderId="32" xfId="0" applyFont="1" applyFill="1" applyBorder="1" applyAlignment="1">
      <alignment horizontal="center" vertical="center" wrapText="1"/>
    </xf>
    <xf numFmtId="164" fontId="8" fillId="0" borderId="0" xfId="0" applyNumberFormat="1" applyFont="1" applyAlignment="1"/>
    <xf numFmtId="0" fontId="38" fillId="0" borderId="0" xfId="0" applyFont="1">
      <alignment vertical="center"/>
    </xf>
    <xf numFmtId="164" fontId="8" fillId="3" borderId="0" xfId="1" applyNumberFormat="1" applyFont="1" applyFill="1" applyProtection="1"/>
    <xf numFmtId="164" fontId="8" fillId="0" borderId="0" xfId="0" applyNumberFormat="1" applyFont="1" applyAlignment="1">
      <alignment horizontal="center"/>
    </xf>
    <xf numFmtId="0" fontId="48" fillId="0" borderId="0" xfId="0" applyFont="1" applyAlignment="1">
      <alignment horizontal="center" vertical="center" wrapText="1"/>
    </xf>
    <xf numFmtId="0" fontId="3" fillId="0" borderId="0" xfId="0" applyFont="1" applyAlignment="1">
      <alignment horizontal="center" vertical="top" wrapText="1"/>
    </xf>
    <xf numFmtId="0" fontId="52" fillId="0" borderId="0" xfId="0" applyFont="1" applyAlignment="1">
      <alignment horizontal="center" vertical="center"/>
    </xf>
    <xf numFmtId="0" fontId="52" fillId="6" borderId="0" xfId="0" applyFont="1" applyFill="1" applyAlignment="1">
      <alignment horizontal="center" vertical="center"/>
    </xf>
    <xf numFmtId="3" fontId="44" fillId="18" borderId="27" xfId="0" applyNumberFormat="1" applyFont="1" applyFill="1" applyBorder="1" applyAlignment="1">
      <alignment horizontal="right"/>
    </xf>
    <xf numFmtId="3" fontId="44" fillId="18" borderId="27" xfId="0" applyNumberFormat="1" applyFont="1" applyFill="1" applyBorder="1" applyAlignment="1">
      <alignment horizontal="center" wrapText="1"/>
    </xf>
    <xf numFmtId="3" fontId="44" fillId="18" borderId="28" xfId="0" applyNumberFormat="1" applyFont="1" applyFill="1" applyBorder="1" applyAlignment="1">
      <alignment horizontal="center" wrapText="1"/>
    </xf>
    <xf numFmtId="167" fontId="48" fillId="0" borderId="0" xfId="0" applyNumberFormat="1" applyFont="1" applyAlignment="1">
      <alignment horizontal="center" vertical="center"/>
    </xf>
    <xf numFmtId="0" fontId="5" fillId="15" borderId="27" xfId="0" applyFont="1" applyFill="1" applyBorder="1" applyAlignment="1">
      <alignment horizontal="center" vertical="center"/>
    </xf>
    <xf numFmtId="0" fontId="5" fillId="15" borderId="34" xfId="0" applyFont="1" applyFill="1" applyBorder="1" applyAlignment="1">
      <alignment horizontal="center" vertical="center"/>
    </xf>
    <xf numFmtId="0" fontId="5" fillId="15" borderId="27" xfId="0" applyFont="1" applyFill="1" applyBorder="1" applyAlignment="1">
      <alignment horizontal="center" vertical="center" wrapText="1"/>
    </xf>
    <xf numFmtId="0" fontId="5" fillId="15" borderId="28" xfId="0" applyFont="1" applyFill="1" applyBorder="1" applyAlignment="1">
      <alignment horizontal="center" vertical="center"/>
    </xf>
    <xf numFmtId="0" fontId="5" fillId="16" borderId="55" xfId="0" applyFont="1" applyFill="1" applyBorder="1" applyAlignment="1">
      <alignment horizontal="center" vertical="center"/>
    </xf>
    <xf numFmtId="164" fontId="40" fillId="16" borderId="41" xfId="1" applyNumberFormat="1" applyFont="1" applyFill="1" applyBorder="1" applyAlignment="1" applyProtection="1">
      <alignment horizontal="right"/>
    </xf>
    <xf numFmtId="166" fontId="46" fillId="16" borderId="43" xfId="1" applyNumberFormat="1" applyFont="1" applyFill="1" applyBorder="1" applyAlignment="1" applyProtection="1">
      <alignment horizontal="right"/>
    </xf>
    <xf numFmtId="164" fontId="44" fillId="16" borderId="30" xfId="1" applyNumberFormat="1" applyFont="1" applyFill="1" applyBorder="1" applyProtection="1"/>
    <xf numFmtId="0" fontId="5" fillId="19" borderId="26" xfId="0" applyFont="1" applyFill="1" applyBorder="1" applyAlignment="1">
      <alignment horizontal="center"/>
    </xf>
    <xf numFmtId="0" fontId="5" fillId="19" borderId="29" xfId="0" applyFont="1" applyFill="1" applyBorder="1" applyAlignment="1"/>
    <xf numFmtId="0" fontId="5" fillId="19" borderId="55" xfId="0" applyFont="1" applyFill="1" applyBorder="1" applyAlignment="1"/>
    <xf numFmtId="0" fontId="7" fillId="19" borderId="57" xfId="0" applyFont="1" applyFill="1" applyBorder="1" applyAlignment="1"/>
    <xf numFmtId="0" fontId="5" fillId="15" borderId="27" xfId="0" applyFont="1" applyFill="1" applyBorder="1" applyAlignment="1">
      <alignment horizontal="center"/>
    </xf>
    <xf numFmtId="0" fontId="5" fillId="15" borderId="1" xfId="0" applyFont="1" applyFill="1" applyBorder="1" applyAlignment="1">
      <alignment horizontal="center"/>
    </xf>
    <xf numFmtId="0" fontId="5" fillId="15" borderId="14" xfId="0" applyFont="1" applyFill="1" applyBorder="1" applyAlignment="1">
      <alignment horizontal="center"/>
    </xf>
    <xf numFmtId="0" fontId="7" fillId="15" borderId="54" xfId="0" applyFont="1" applyFill="1" applyBorder="1" applyAlignment="1">
      <alignment horizontal="center"/>
    </xf>
    <xf numFmtId="0" fontId="5" fillId="21" borderId="27" xfId="0" applyFont="1" applyFill="1" applyBorder="1" applyAlignment="1">
      <alignment horizontal="center"/>
    </xf>
    <xf numFmtId="0" fontId="5" fillId="21" borderId="28" xfId="0" applyFont="1" applyFill="1" applyBorder="1" applyAlignment="1">
      <alignment horizontal="center"/>
    </xf>
    <xf numFmtId="0" fontId="5" fillId="21" borderId="1" xfId="0" applyFont="1" applyFill="1" applyBorder="1" applyAlignment="1">
      <alignment horizontal="center"/>
    </xf>
    <xf numFmtId="166" fontId="45" fillId="21" borderId="1" xfId="1" applyNumberFormat="1" applyFont="1" applyFill="1" applyBorder="1" applyAlignment="1" applyProtection="1">
      <alignment horizontal="right"/>
    </xf>
    <xf numFmtId="166" fontId="45" fillId="21" borderId="30" xfId="1" applyNumberFormat="1" applyFont="1" applyFill="1" applyBorder="1" applyAlignment="1" applyProtection="1">
      <alignment horizontal="right"/>
    </xf>
    <xf numFmtId="166" fontId="45" fillId="21" borderId="14" xfId="1" applyNumberFormat="1" applyFont="1" applyFill="1" applyBorder="1" applyAlignment="1" applyProtection="1">
      <alignment horizontal="right"/>
    </xf>
    <xf numFmtId="0" fontId="7" fillId="21" borderId="54" xfId="0" applyFont="1" applyFill="1" applyBorder="1" applyAlignment="1">
      <alignment horizontal="center"/>
    </xf>
    <xf numFmtId="0" fontId="7" fillId="21" borderId="58" xfId="0" applyFont="1" applyFill="1" applyBorder="1" applyAlignment="1">
      <alignment horizontal="center"/>
    </xf>
    <xf numFmtId="0" fontId="2" fillId="15" borderId="45" xfId="0" applyFont="1" applyFill="1" applyBorder="1" applyAlignment="1">
      <alignment horizontal="center"/>
    </xf>
    <xf numFmtId="0" fontId="2" fillId="15" borderId="47" xfId="0" applyFont="1" applyFill="1" applyBorder="1" applyAlignment="1">
      <alignment horizontal="center"/>
    </xf>
    <xf numFmtId="2" fontId="49" fillId="15" borderId="61" xfId="0" applyNumberFormat="1" applyFont="1" applyFill="1" applyBorder="1" applyAlignment="1">
      <alignment wrapText="1"/>
    </xf>
    <xf numFmtId="0" fontId="53" fillId="0" borderId="28" xfId="0" applyFont="1" applyBorder="1" applyAlignment="1">
      <alignment horizontal="center" vertical="center" wrapText="1"/>
    </xf>
    <xf numFmtId="0" fontId="54" fillId="0" borderId="30" xfId="0" applyFont="1" applyBorder="1" applyAlignment="1">
      <alignment horizontal="center" vertical="center"/>
    </xf>
    <xf numFmtId="3" fontId="55" fillId="10" borderId="30" xfId="0" applyNumberFormat="1" applyFont="1" applyFill="1" applyBorder="1" applyAlignment="1">
      <alignment horizontal="right"/>
    </xf>
    <xf numFmtId="0" fontId="56" fillId="0" borderId="0" xfId="0" applyFont="1">
      <alignment vertical="center"/>
    </xf>
    <xf numFmtId="0" fontId="57" fillId="0" borderId="28" xfId="0" applyFont="1" applyBorder="1" applyAlignment="1">
      <alignment horizontal="right"/>
    </xf>
    <xf numFmtId="3" fontId="44" fillId="10" borderId="32" xfId="0" applyNumberFormat="1" applyFont="1" applyFill="1" applyBorder="1">
      <alignment vertical="center"/>
    </xf>
    <xf numFmtId="3" fontId="58" fillId="20" borderId="1" xfId="0" applyNumberFormat="1" applyFont="1" applyFill="1" applyBorder="1" applyAlignment="1">
      <alignment horizontal="right" vertical="center"/>
    </xf>
    <xf numFmtId="3" fontId="58" fillId="10" borderId="30" xfId="0" applyNumberFormat="1" applyFont="1" applyFill="1" applyBorder="1" applyAlignment="1">
      <alignment horizontal="right"/>
    </xf>
    <xf numFmtId="3" fontId="58" fillId="10" borderId="41" xfId="0" applyNumberFormat="1" applyFont="1" applyFill="1" applyBorder="1" applyAlignment="1">
      <alignment horizontal="right"/>
    </xf>
    <xf numFmtId="3" fontId="58" fillId="10" borderId="33" xfId="0" applyNumberFormat="1" applyFont="1" applyFill="1" applyBorder="1" applyAlignment="1">
      <alignment horizontal="right"/>
    </xf>
    <xf numFmtId="164" fontId="58" fillId="10" borderId="30" xfId="1" applyNumberFormat="1" applyFont="1" applyFill="1" applyBorder="1" applyAlignment="1" applyProtection="1">
      <alignment horizontal="right"/>
    </xf>
    <xf numFmtId="164" fontId="58" fillId="10" borderId="30" xfId="1" applyNumberFormat="1" applyFont="1" applyFill="1" applyBorder="1" applyAlignment="1" applyProtection="1">
      <alignment wrapText="1"/>
    </xf>
    <xf numFmtId="3" fontId="58" fillId="17" borderId="48" xfId="0" applyNumberFormat="1" applyFont="1" applyFill="1" applyBorder="1" applyAlignment="1">
      <alignment horizontal="right"/>
    </xf>
    <xf numFmtId="167" fontId="12" fillId="15" borderId="11" xfId="0" applyNumberFormat="1" applyFont="1" applyFill="1" applyBorder="1" applyAlignment="1">
      <alignment horizontal="center" vertical="center"/>
    </xf>
    <xf numFmtId="167" fontId="12" fillId="15" borderId="56" xfId="0" applyNumberFormat="1" applyFont="1" applyFill="1" applyBorder="1" applyAlignment="1">
      <alignment horizontal="center" vertical="center"/>
    </xf>
    <xf numFmtId="167" fontId="41" fillId="15" borderId="32" xfId="0" applyNumberFormat="1" applyFont="1" applyFill="1" applyBorder="1" applyAlignment="1">
      <alignment horizontal="center"/>
    </xf>
    <xf numFmtId="0" fontId="5" fillId="16" borderId="1" xfId="0" applyFont="1" applyFill="1" applyBorder="1" applyAlignment="1">
      <alignment horizontal="center" wrapText="1"/>
    </xf>
    <xf numFmtId="0" fontId="5" fillId="16" borderId="29" xfId="0" applyFont="1" applyFill="1" applyBorder="1" applyAlignment="1">
      <alignment horizontal="center" vertical="center" wrapText="1"/>
    </xf>
    <xf numFmtId="3" fontId="58" fillId="10" borderId="58" xfId="0" applyNumberFormat="1" applyFont="1" applyFill="1" applyBorder="1" applyAlignment="1">
      <alignment horizontal="right"/>
    </xf>
    <xf numFmtId="0" fontId="60" fillId="16" borderId="1" xfId="0" applyFont="1" applyFill="1" applyBorder="1" applyAlignment="1">
      <alignment horizontal="center" vertical="top" wrapText="1"/>
    </xf>
    <xf numFmtId="3" fontId="44" fillId="18" borderId="62" xfId="0" applyNumberFormat="1" applyFont="1" applyFill="1" applyBorder="1" applyAlignment="1">
      <alignment horizontal="center" wrapText="1"/>
    </xf>
    <xf numFmtId="0" fontId="47" fillId="10" borderId="9" xfId="0" applyFont="1" applyFill="1" applyBorder="1" applyAlignment="1">
      <alignment wrapText="1"/>
    </xf>
    <xf numFmtId="3" fontId="44" fillId="10" borderId="11" xfId="0" applyNumberFormat="1" applyFont="1" applyFill="1" applyBorder="1">
      <alignment vertical="center"/>
    </xf>
    <xf numFmtId="0" fontId="5" fillId="16" borderId="1" xfId="0" applyFont="1" applyFill="1" applyBorder="1" applyAlignment="1">
      <alignment horizontal="center"/>
    </xf>
    <xf numFmtId="49" fontId="12" fillId="16" borderId="11" xfId="0" applyNumberFormat="1" applyFont="1" applyFill="1" applyBorder="1" applyAlignment="1">
      <alignment horizontal="center" vertical="center"/>
    </xf>
    <xf numFmtId="2" fontId="23" fillId="8" borderId="1" xfId="0" applyNumberFormat="1" applyFont="1" applyFill="1" applyBorder="1" applyAlignment="1">
      <alignment horizontal="center" vertical="center" wrapText="1"/>
    </xf>
    <xf numFmtId="0" fontId="26" fillId="0" borderId="0" xfId="0" applyFont="1" applyBorder="1">
      <alignment vertical="center"/>
    </xf>
    <xf numFmtId="0" fontId="26" fillId="6" borderId="0" xfId="0" applyFont="1" applyFill="1" applyBorder="1">
      <alignment vertical="center"/>
    </xf>
    <xf numFmtId="0" fontId="2" fillId="6" borderId="0" xfId="0" applyFont="1" applyFill="1" applyBorder="1" applyAlignment="1"/>
    <xf numFmtId="17" fontId="30" fillId="0" borderId="0" xfId="0" applyNumberFormat="1" applyFont="1" applyBorder="1" applyAlignment="1">
      <alignment horizontal="center" vertical="center"/>
    </xf>
    <xf numFmtId="0" fontId="16" fillId="0" borderId="0" xfId="0" applyFont="1" applyAlignment="1">
      <alignment horizontal="left"/>
    </xf>
    <xf numFmtId="0" fontId="5" fillId="19" borderId="38" xfId="0" applyFont="1" applyFill="1" applyBorder="1" applyAlignment="1">
      <alignment horizontal="left"/>
    </xf>
    <xf numFmtId="0" fontId="5" fillId="19" borderId="7" xfId="0" applyFont="1" applyFill="1" applyBorder="1" applyAlignment="1">
      <alignment horizontal="left"/>
    </xf>
    <xf numFmtId="0" fontId="5" fillId="19" borderId="10" xfId="0" applyFont="1" applyFill="1" applyBorder="1" applyAlignment="1">
      <alignment horizontal="left"/>
    </xf>
    <xf numFmtId="0" fontId="9" fillId="0" borderId="0" xfId="0" applyFont="1" applyAlignment="1">
      <alignment horizontal="center" vertical="center" wrapText="1"/>
    </xf>
    <xf numFmtId="3" fontId="43" fillId="10" borderId="0" xfId="0" applyNumberFormat="1" applyFont="1" applyFill="1" applyAlignment="1">
      <alignment horizontal="center"/>
    </xf>
    <xf numFmtId="0" fontId="0" fillId="16" borderId="14" xfId="0" applyFill="1" applyBorder="1">
      <alignment vertical="center"/>
    </xf>
    <xf numFmtId="0" fontId="5" fillId="16" borderId="1" xfId="0" applyFont="1" applyFill="1" applyBorder="1" applyAlignment="1">
      <alignment horizontal="center" vertical="center"/>
    </xf>
    <xf numFmtId="14" fontId="16" fillId="0" borderId="0" xfId="0" applyNumberFormat="1" applyFont="1" applyAlignment="1">
      <alignment horizontal="left"/>
    </xf>
    <xf numFmtId="0" fontId="27" fillId="0" borderId="11" xfId="0" applyFont="1" applyBorder="1" applyAlignment="1">
      <alignment horizontal="center" vertical="center"/>
    </xf>
    <xf numFmtId="0" fontId="24" fillId="7" borderId="1" xfId="0" applyFont="1" applyFill="1" applyBorder="1" applyAlignment="1">
      <alignment horizontal="center" vertical="center" wrapText="1"/>
    </xf>
    <xf numFmtId="0" fontId="24" fillId="8" borderId="1" xfId="0" applyFont="1" applyFill="1" applyBorder="1" applyAlignment="1">
      <alignment horizontal="center" vertical="center" wrapText="1"/>
    </xf>
    <xf numFmtId="169" fontId="23" fillId="8" borderId="1" xfId="0" applyNumberFormat="1" applyFont="1" applyFill="1" applyBorder="1" applyAlignment="1">
      <alignment horizontal="center" vertical="center" wrapText="1"/>
    </xf>
    <xf numFmtId="0" fontId="21" fillId="8" borderId="1" xfId="0" applyFont="1" applyFill="1" applyBorder="1" applyAlignment="1">
      <alignment horizontal="center" vertical="center" wrapText="1"/>
    </xf>
    <xf numFmtId="0" fontId="38" fillId="0" borderId="0" xfId="0" applyFont="1" applyBorder="1" applyAlignment="1">
      <alignment horizontal="left" vertical="center"/>
    </xf>
    <xf numFmtId="0" fontId="38" fillId="0" borderId="0" xfId="0" applyFont="1" applyBorder="1">
      <alignment vertical="center"/>
    </xf>
    <xf numFmtId="14" fontId="24" fillId="0" borderId="0" xfId="0" applyNumberFormat="1" applyFont="1" applyBorder="1">
      <alignment vertical="center"/>
    </xf>
    <xf numFmtId="0" fontId="62" fillId="8" borderId="0" xfId="0" applyFont="1" applyFill="1" applyAlignment="1">
      <alignment horizontal="left"/>
    </xf>
    <xf numFmtId="0" fontId="24" fillId="8" borderId="0" xfId="0" applyFont="1" applyFill="1" applyAlignment="1">
      <alignment horizontal="left"/>
    </xf>
    <xf numFmtId="49" fontId="24" fillId="0" borderId="0" xfId="0" applyNumberFormat="1" applyFont="1" applyBorder="1">
      <alignment vertical="center"/>
    </xf>
    <xf numFmtId="0" fontId="24" fillId="0" borderId="0" xfId="0" applyFont="1" applyBorder="1">
      <alignment vertical="center"/>
    </xf>
    <xf numFmtId="0" fontId="24" fillId="6" borderId="0" xfId="0" applyFont="1" applyFill="1" applyBorder="1">
      <alignment vertical="center"/>
    </xf>
    <xf numFmtId="0" fontId="65" fillId="0" borderId="0" xfId="0" applyFont="1" applyAlignment="1"/>
    <xf numFmtId="0" fontId="24" fillId="6" borderId="1" xfId="0" applyFont="1" applyFill="1" applyBorder="1" applyAlignment="1">
      <alignment horizontal="center" vertical="center"/>
    </xf>
    <xf numFmtId="0" fontId="65" fillId="6" borderId="1" xfId="0" applyFont="1" applyFill="1" applyBorder="1" applyAlignment="1">
      <alignment horizontal="center" vertical="center"/>
    </xf>
    <xf numFmtId="0" fontId="65" fillId="6" borderId="0" xfId="0" applyFont="1" applyFill="1" applyBorder="1" applyAlignment="1">
      <alignment horizontal="center" vertical="center"/>
    </xf>
    <xf numFmtId="0" fontId="27" fillId="0" borderId="1" xfId="0" applyFont="1" applyBorder="1" applyAlignment="1">
      <alignment horizontal="center" vertical="center"/>
    </xf>
    <xf numFmtId="0" fontId="27" fillId="0" borderId="4" xfId="0" applyFont="1" applyBorder="1" applyAlignment="1">
      <alignment horizontal="center" vertical="center"/>
    </xf>
    <xf numFmtId="14" fontId="24" fillId="0" borderId="0" xfId="0" applyNumberFormat="1" applyFont="1" applyBorder="1" applyAlignment="1">
      <alignment horizontal="left" vertical="center"/>
    </xf>
    <xf numFmtId="0" fontId="38" fillId="6" borderId="0" xfId="0" applyFont="1" applyFill="1" applyBorder="1" applyAlignment="1"/>
    <xf numFmtId="2" fontId="65" fillId="0" borderId="18" xfId="0" applyNumberFormat="1" applyFont="1" applyBorder="1" applyAlignment="1">
      <alignment horizontal="center" vertical="center" wrapText="1"/>
    </xf>
    <xf numFmtId="1" fontId="65" fillId="0" borderId="18" xfId="0" applyNumberFormat="1" applyFont="1" applyBorder="1" applyAlignment="1">
      <alignment horizontal="center" vertical="center"/>
    </xf>
    <xf numFmtId="2" fontId="65" fillId="0" borderId="18" xfId="0" applyNumberFormat="1" applyFont="1" applyBorder="1" applyAlignment="1">
      <alignment horizontal="center" vertical="center"/>
    </xf>
    <xf numFmtId="1" fontId="65" fillId="0" borderId="20" xfId="0" applyNumberFormat="1" applyFont="1" applyBorder="1" applyAlignment="1">
      <alignment horizontal="center" vertical="center"/>
    </xf>
    <xf numFmtId="170" fontId="65" fillId="0" borderId="18" xfId="0" applyNumberFormat="1" applyFont="1" applyBorder="1" applyAlignment="1">
      <alignment horizontal="center" vertical="center"/>
    </xf>
    <xf numFmtId="0" fontId="38" fillId="0" borderId="0" xfId="0" applyFont="1" applyAlignment="1"/>
    <xf numFmtId="0" fontId="63" fillId="0" borderId="0" xfId="0" applyFont="1">
      <alignment vertical="center"/>
    </xf>
    <xf numFmtId="0" fontId="63" fillId="0" borderId="0" xfId="0" applyFont="1" applyAlignment="1">
      <alignment horizontal="center" vertical="center"/>
    </xf>
    <xf numFmtId="0" fontId="22" fillId="2" borderId="0" xfId="0" applyFont="1" applyFill="1" applyBorder="1" applyAlignment="1">
      <alignment horizontal="right" vertical="center"/>
    </xf>
    <xf numFmtId="168" fontId="67" fillId="0" borderId="1" xfId="0" applyNumberFormat="1" applyFont="1" applyBorder="1" applyAlignment="1">
      <alignment horizontal="center" vertical="center" wrapText="1"/>
    </xf>
    <xf numFmtId="0" fontId="68" fillId="0" borderId="0" xfId="0" applyFont="1">
      <alignment vertical="center"/>
    </xf>
    <xf numFmtId="0" fontId="69" fillId="0" borderId="1" xfId="0" applyFont="1" applyBorder="1" applyAlignment="1">
      <alignment horizontal="center" vertical="center" wrapText="1"/>
    </xf>
    <xf numFmtId="0" fontId="70" fillId="11" borderId="11" xfId="0" applyFont="1" applyFill="1" applyBorder="1" applyAlignment="1">
      <alignment horizontal="center" vertical="center" wrapText="1"/>
    </xf>
    <xf numFmtId="0" fontId="71" fillId="0" borderId="1" xfId="0" applyFont="1" applyBorder="1" applyAlignment="1">
      <alignment horizontal="center" vertical="center" wrapText="1"/>
    </xf>
    <xf numFmtId="0" fontId="72" fillId="11" borderId="11" xfId="0" applyFont="1" applyFill="1" applyBorder="1" applyAlignment="1">
      <alignment horizontal="center" vertical="center" wrapText="1"/>
    </xf>
    <xf numFmtId="0" fontId="73" fillId="0" borderId="1" xfId="0" applyFont="1" applyBorder="1" applyAlignment="1">
      <alignment horizontal="center" vertical="center" wrapText="1"/>
    </xf>
    <xf numFmtId="0" fontId="73" fillId="12" borderId="1" xfId="0" applyFont="1" applyFill="1" applyBorder="1" applyAlignment="1">
      <alignment horizontal="center" vertical="center" wrapText="1"/>
    </xf>
    <xf numFmtId="0" fontId="70" fillId="12" borderId="1" xfId="0" applyFont="1" applyFill="1" applyBorder="1" applyAlignment="1">
      <alignment horizontal="center" vertical="center" wrapText="1"/>
    </xf>
    <xf numFmtId="0" fontId="69" fillId="13" borderId="1" xfId="0" applyFont="1" applyFill="1" applyBorder="1" applyAlignment="1">
      <alignment horizontal="center" vertical="center" wrapText="1"/>
    </xf>
    <xf numFmtId="1" fontId="73" fillId="5" borderId="1" xfId="0" applyNumberFormat="1" applyFont="1" applyFill="1" applyBorder="1" applyAlignment="1">
      <alignment horizontal="center" vertical="center" wrapText="1"/>
    </xf>
    <xf numFmtId="0" fontId="78" fillId="2" borderId="1" xfId="0" applyFont="1" applyFill="1" applyBorder="1" applyAlignment="1">
      <alignment horizontal="center" vertical="center" wrapText="1"/>
    </xf>
    <xf numFmtId="0" fontId="79" fillId="2" borderId="1" xfId="0" applyFont="1" applyFill="1" applyBorder="1" applyAlignment="1">
      <alignment horizontal="center" vertical="center" wrapText="1"/>
    </xf>
    <xf numFmtId="0" fontId="77" fillId="2" borderId="10" xfId="0" applyFont="1" applyFill="1" applyBorder="1" applyAlignment="1">
      <alignment horizontal="center" vertical="center" wrapText="1"/>
    </xf>
    <xf numFmtId="0" fontId="77" fillId="2" borderId="1" xfId="0" applyFont="1" applyFill="1" applyBorder="1" applyAlignment="1">
      <alignment horizontal="center" vertical="center" wrapText="1"/>
    </xf>
    <xf numFmtId="0" fontId="77" fillId="2" borderId="1" xfId="0" applyFont="1" applyFill="1" applyBorder="1" applyAlignment="1">
      <alignment vertical="center" wrapText="1"/>
    </xf>
    <xf numFmtId="0" fontId="80" fillId="2" borderId="1" xfId="0" applyFont="1" applyFill="1" applyBorder="1" applyAlignment="1">
      <alignment horizontal="center" vertical="center" wrapText="1"/>
    </xf>
    <xf numFmtId="0" fontId="82" fillId="2" borderId="1" xfId="0" applyFont="1" applyFill="1" applyBorder="1" applyAlignment="1">
      <alignment horizontal="center" vertical="center" wrapText="1"/>
    </xf>
    <xf numFmtId="0" fontId="81" fillId="2" borderId="10" xfId="0" applyFont="1" applyFill="1" applyBorder="1" applyAlignment="1">
      <alignment horizontal="center" vertical="center" wrapText="1"/>
    </xf>
    <xf numFmtId="0" fontId="81" fillId="2" borderId="1" xfId="0" applyFont="1" applyFill="1" applyBorder="1" applyAlignment="1">
      <alignment horizontal="center" vertical="center" wrapText="1"/>
    </xf>
    <xf numFmtId="0" fontId="81" fillId="2" borderId="1" xfId="0" applyFont="1" applyFill="1" applyBorder="1" applyAlignment="1">
      <alignment vertical="center" wrapText="1"/>
    </xf>
    <xf numFmtId="0" fontId="83" fillId="2" borderId="1" xfId="0" applyFont="1" applyFill="1" applyBorder="1" applyAlignment="1">
      <alignment horizontal="center" vertical="center" wrapText="1"/>
    </xf>
    <xf numFmtId="17" fontId="84" fillId="0" borderId="1" xfId="0" applyNumberFormat="1" applyFont="1" applyBorder="1" applyAlignment="1">
      <alignment horizontal="center" vertical="center" wrapText="1"/>
    </xf>
    <xf numFmtId="0" fontId="85" fillId="0" borderId="1" xfId="0" applyFont="1" applyBorder="1" applyAlignment="1">
      <alignment horizontal="center" vertical="center" wrapText="1"/>
    </xf>
    <xf numFmtId="0" fontId="74" fillId="11" borderId="11" xfId="0" applyFont="1" applyFill="1" applyBorder="1" applyAlignment="1">
      <alignment horizontal="center" vertical="center" wrapText="1"/>
    </xf>
    <xf numFmtId="0" fontId="85" fillId="6" borderId="1" xfId="0" applyFont="1" applyFill="1" applyBorder="1" applyAlignment="1">
      <alignment horizontal="center" vertical="center" wrapText="1"/>
    </xf>
    <xf numFmtId="0" fontId="85" fillId="6" borderId="11" xfId="0" applyFont="1" applyFill="1" applyBorder="1" applyAlignment="1">
      <alignment horizontal="center" vertical="center" wrapText="1"/>
    </xf>
    <xf numFmtId="0" fontId="85" fillId="11" borderId="11" xfId="0" applyFont="1" applyFill="1" applyBorder="1" applyAlignment="1">
      <alignment horizontal="center" vertical="center" wrapText="1"/>
    </xf>
    <xf numFmtId="0" fontId="86" fillId="6" borderId="1" xfId="0" applyFont="1" applyFill="1" applyBorder="1" applyAlignment="1">
      <alignment horizontal="center" vertical="center" wrapText="1"/>
    </xf>
    <xf numFmtId="0" fontId="87" fillId="6" borderId="1" xfId="0" applyFont="1" applyFill="1" applyBorder="1" applyAlignment="1">
      <alignment horizontal="center" vertical="center" wrapText="1"/>
    </xf>
    <xf numFmtId="0" fontId="87" fillId="6" borderId="9" xfId="0" applyFont="1" applyFill="1" applyBorder="1" applyAlignment="1">
      <alignment horizontal="center" vertical="center" wrapText="1"/>
    </xf>
    <xf numFmtId="0" fontId="87" fillId="12" borderId="1" xfId="0" applyFont="1" applyFill="1" applyBorder="1" applyAlignment="1">
      <alignment horizontal="center" vertical="center" wrapText="1"/>
    </xf>
    <xf numFmtId="0" fontId="74" fillId="12" borderId="1" xfId="0" applyFont="1" applyFill="1" applyBorder="1" applyAlignment="1">
      <alignment horizontal="center" vertical="center" wrapText="1"/>
    </xf>
    <xf numFmtId="1" fontId="87" fillId="0" borderId="11" xfId="0" applyNumberFormat="1" applyFont="1" applyBorder="1" applyAlignment="1">
      <alignment horizontal="center" vertical="center" wrapText="1"/>
    </xf>
    <xf numFmtId="0" fontId="87" fillId="0" borderId="11" xfId="0" applyFont="1" applyBorder="1" applyAlignment="1">
      <alignment horizontal="center" vertical="center" wrapText="1"/>
    </xf>
    <xf numFmtId="1" fontId="85" fillId="11" borderId="11" xfId="0" applyNumberFormat="1" applyFont="1" applyFill="1" applyBorder="1" applyAlignment="1">
      <alignment horizontal="center" vertical="center" wrapText="1"/>
    </xf>
    <xf numFmtId="0" fontId="85" fillId="2" borderId="1" xfId="0" applyFont="1" applyFill="1" applyBorder="1" applyAlignment="1">
      <alignment horizontal="center" vertical="center" wrapText="1"/>
    </xf>
    <xf numFmtId="0" fontId="50" fillId="0" borderId="0" xfId="0" applyFont="1" applyAlignment="1">
      <alignment vertical="center"/>
    </xf>
    <xf numFmtId="0" fontId="20" fillId="0" borderId="0" xfId="0" applyFont="1" applyAlignment="1">
      <alignment horizontal="center" vertical="center"/>
    </xf>
    <xf numFmtId="0" fontId="0" fillId="10" borderId="8" xfId="0" applyFill="1" applyBorder="1">
      <alignment vertical="center"/>
    </xf>
    <xf numFmtId="0" fontId="32" fillId="10" borderId="65" xfId="0" applyFont="1" applyFill="1" applyBorder="1">
      <alignment vertical="center"/>
    </xf>
    <xf numFmtId="3" fontId="58" fillId="20" borderId="8" xfId="0" applyNumberFormat="1" applyFont="1" applyFill="1" applyBorder="1" applyAlignment="1">
      <alignment horizontal="center" wrapText="1"/>
    </xf>
    <xf numFmtId="0" fontId="5" fillId="16" borderId="1" xfId="0" applyFont="1" applyFill="1" applyBorder="1" applyAlignment="1">
      <alignment horizontal="center"/>
    </xf>
    <xf numFmtId="49" fontId="12" fillId="16" borderId="1" xfId="0" applyNumberFormat="1" applyFont="1" applyFill="1" applyBorder="1" applyAlignment="1">
      <alignment horizontal="center" vertical="center"/>
    </xf>
    <xf numFmtId="0" fontId="88" fillId="0" borderId="0" xfId="0" applyFont="1" applyAlignment="1">
      <alignment vertical="center"/>
    </xf>
    <xf numFmtId="0" fontId="89" fillId="0" borderId="0" xfId="0" applyFont="1" applyAlignment="1">
      <alignment horizontal="left" vertical="center"/>
    </xf>
    <xf numFmtId="0" fontId="91" fillId="5" borderId="1" xfId="0" applyFont="1" applyFill="1" applyBorder="1" applyAlignment="1">
      <alignment horizontal="center" vertical="center" wrapText="1"/>
    </xf>
    <xf numFmtId="0" fontId="92" fillId="5" borderId="1" xfId="0" applyFont="1" applyFill="1" applyBorder="1" applyAlignment="1">
      <alignment horizontal="center" vertical="center" wrapText="1"/>
    </xf>
    <xf numFmtId="0" fontId="91" fillId="2" borderId="1" xfId="0" applyFont="1" applyFill="1" applyBorder="1" applyAlignment="1">
      <alignment horizontal="center" vertical="center" wrapText="1"/>
    </xf>
    <xf numFmtId="2" fontId="91" fillId="2" borderId="1" xfId="0" applyNumberFormat="1" applyFont="1" applyFill="1" applyBorder="1" applyAlignment="1">
      <alignment horizontal="center" vertical="center" wrapText="1"/>
    </xf>
    <xf numFmtId="3" fontId="58" fillId="20" borderId="8" xfId="0" applyNumberFormat="1" applyFont="1" applyFill="1" applyBorder="1" applyAlignment="1">
      <alignment horizontal="center" vertical="center" wrapText="1"/>
    </xf>
    <xf numFmtId="0" fontId="0" fillId="0" borderId="0" xfId="0" applyAlignment="1">
      <alignment vertical="center"/>
    </xf>
    <xf numFmtId="0" fontId="20" fillId="0" borderId="0" xfId="0" applyFont="1" applyAlignment="1">
      <alignment vertical="center"/>
    </xf>
    <xf numFmtId="0" fontId="19" fillId="0" borderId="0" xfId="0" applyFont="1" applyAlignment="1">
      <alignment vertical="center"/>
    </xf>
    <xf numFmtId="0" fontId="94" fillId="0" borderId="0" xfId="0" applyFont="1" applyAlignment="1">
      <alignment horizontal="center"/>
    </xf>
    <xf numFmtId="0" fontId="0" fillId="0" borderId="1" xfId="0" applyBorder="1">
      <alignment vertical="center"/>
    </xf>
    <xf numFmtId="0" fontId="95" fillId="6" borderId="0" xfId="0" applyFont="1" applyFill="1" applyAlignment="1">
      <alignment horizontal="center" vertical="center"/>
    </xf>
    <xf numFmtId="0" fontId="96" fillId="0" borderId="0" xfId="0" applyFont="1" applyAlignment="1">
      <alignment horizontal="left" vertical="center"/>
    </xf>
    <xf numFmtId="0" fontId="97" fillId="0" borderId="0" xfId="0" applyFont="1" applyAlignment="1">
      <alignment horizontal="left" vertical="center"/>
    </xf>
    <xf numFmtId="0" fontId="98" fillId="0" borderId="0" xfId="0" applyFont="1" applyAlignment="1">
      <alignment horizontal="left" vertical="center"/>
    </xf>
    <xf numFmtId="0" fontId="5" fillId="16" borderId="0" xfId="0" applyFont="1" applyFill="1" applyBorder="1" applyAlignment="1">
      <alignment horizontal="center"/>
    </xf>
    <xf numFmtId="49" fontId="12" fillId="16" borderId="0" xfId="0" applyNumberFormat="1" applyFont="1" applyFill="1" applyBorder="1" applyAlignment="1">
      <alignment horizontal="center" vertical="center"/>
    </xf>
    <xf numFmtId="0" fontId="9" fillId="0" borderId="0" xfId="0" applyFont="1" applyAlignment="1">
      <alignment horizontal="center" vertical="center" wrapText="1"/>
    </xf>
    <xf numFmtId="0" fontId="99" fillId="0" borderId="0" xfId="0" applyFont="1" applyAlignment="1">
      <alignment horizontal="left" vertical="center"/>
    </xf>
    <xf numFmtId="0" fontId="20" fillId="0" borderId="0" xfId="0" applyFont="1" applyAlignment="1">
      <alignment horizontal="left" vertical="center"/>
    </xf>
    <xf numFmtId="0" fontId="50" fillId="0" borderId="0" xfId="0" applyFont="1" applyAlignment="1">
      <alignment horizontal="left" vertical="center"/>
    </xf>
    <xf numFmtId="0" fontId="19" fillId="0" borderId="0" xfId="0" applyFont="1" applyAlignment="1">
      <alignment horizontal="left" vertical="center"/>
    </xf>
    <xf numFmtId="0" fontId="9" fillId="0" borderId="0" xfId="0" applyFont="1" applyAlignment="1">
      <alignment horizontal="center" vertical="center" wrapText="1"/>
    </xf>
    <xf numFmtId="0" fontId="3" fillId="16" borderId="64" xfId="0" applyFont="1" applyFill="1" applyBorder="1" applyAlignment="1">
      <alignment horizontal="center" vertical="center" wrapText="1"/>
    </xf>
    <xf numFmtId="0" fontId="50" fillId="0" borderId="0" xfId="0" applyFont="1" applyAlignment="1">
      <alignment horizontal="left" vertical="center"/>
    </xf>
    <xf numFmtId="0" fontId="50" fillId="0" borderId="0" xfId="0" applyFont="1" applyAlignment="1">
      <alignment horizontal="left" vertical="center"/>
    </xf>
    <xf numFmtId="0" fontId="50" fillId="0" borderId="0" xfId="0" applyFont="1" applyAlignment="1">
      <alignment horizontal="left" vertical="center"/>
    </xf>
    <xf numFmtId="0" fontId="19" fillId="0" borderId="0" xfId="0" applyFont="1" applyAlignment="1">
      <alignment horizontal="left" vertical="center"/>
    </xf>
    <xf numFmtId="164" fontId="0" fillId="0" borderId="0" xfId="0" applyNumberFormat="1">
      <alignment vertical="center"/>
    </xf>
    <xf numFmtId="0" fontId="59" fillId="0" borderId="0" xfId="0" applyFont="1" applyAlignment="1">
      <alignment horizontal="left" vertical="center"/>
    </xf>
    <xf numFmtId="0" fontId="20" fillId="0" borderId="0" xfId="0" applyFont="1" applyAlignment="1">
      <alignment horizontal="left" vertical="center"/>
    </xf>
    <xf numFmtId="164" fontId="14" fillId="0" borderId="0" xfId="0" applyNumberFormat="1" applyFont="1" applyAlignment="1">
      <alignment vertical="center" wrapText="1"/>
    </xf>
    <xf numFmtId="164" fontId="12" fillId="16" borderId="64" xfId="1" applyNumberFormat="1" applyFont="1" applyFill="1" applyBorder="1" applyAlignment="1" applyProtection="1">
      <alignment horizontal="center" wrapText="1"/>
    </xf>
    <xf numFmtId="164" fontId="12" fillId="16" borderId="64" xfId="1" applyNumberFormat="1" applyFont="1" applyFill="1" applyBorder="1" applyAlignment="1" applyProtection="1">
      <alignment horizontal="center" vertical="center"/>
    </xf>
    <xf numFmtId="165" fontId="12" fillId="16" borderId="64" xfId="1" applyNumberFormat="1" applyFont="1" applyFill="1" applyBorder="1" applyAlignment="1" applyProtection="1">
      <alignment horizontal="center"/>
    </xf>
    <xf numFmtId="165" fontId="12" fillId="16" borderId="64" xfId="1" applyNumberFormat="1" applyFont="1" applyFill="1" applyBorder="1" applyAlignment="1" applyProtection="1">
      <alignment horizontal="center" vertical="center"/>
    </xf>
    <xf numFmtId="0" fontId="34" fillId="0" borderId="0" xfId="0" applyFont="1" applyAlignment="1">
      <alignment horizontal="left" vertical="center"/>
    </xf>
    <xf numFmtId="3" fontId="100" fillId="0" borderId="1" xfId="0" applyNumberFormat="1" applyFont="1" applyBorder="1">
      <alignment vertical="center"/>
    </xf>
    <xf numFmtId="3" fontId="61" fillId="0" borderId="1" xfId="0" applyNumberFormat="1" applyFont="1" applyBorder="1">
      <alignment vertical="center"/>
    </xf>
    <xf numFmtId="3" fontId="100" fillId="22" borderId="1" xfId="0" applyNumberFormat="1" applyFont="1" applyFill="1" applyBorder="1">
      <alignment vertical="center"/>
    </xf>
    <xf numFmtId="164" fontId="100" fillId="22" borderId="1" xfId="0" applyNumberFormat="1" applyFont="1" applyFill="1" applyBorder="1">
      <alignment vertical="center"/>
    </xf>
    <xf numFmtId="0" fontId="9" fillId="0" borderId="0" xfId="0" applyFont="1" applyAlignment="1">
      <alignment horizontal="center" vertical="center" wrapText="1"/>
    </xf>
    <xf numFmtId="0" fontId="14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101" fillId="0" borderId="1" xfId="0" applyFont="1" applyBorder="1" applyAlignment="1">
      <alignment horizontal="center" vertical="center"/>
    </xf>
    <xf numFmtId="0" fontId="5" fillId="16" borderId="1" xfId="0" applyFont="1" applyFill="1" applyBorder="1" applyAlignment="1">
      <alignment horizontal="center" vertical="center"/>
    </xf>
    <xf numFmtId="0" fontId="5" fillId="16" borderId="1" xfId="0" applyFont="1" applyFill="1" applyBorder="1" applyAlignment="1">
      <alignment horizontal="center"/>
    </xf>
    <xf numFmtId="0" fontId="59" fillId="0" borderId="0" xfId="0" applyFont="1" applyAlignment="1">
      <alignment horizontal="left" vertical="center"/>
    </xf>
    <xf numFmtId="3" fontId="16" fillId="0" borderId="1" xfId="0" applyNumberFormat="1" applyFont="1" applyBorder="1">
      <alignment vertical="center"/>
    </xf>
    <xf numFmtId="0" fontId="50" fillId="0" borderId="0" xfId="0" applyFont="1" applyAlignment="1">
      <alignment horizontal="left" vertical="center"/>
    </xf>
    <xf numFmtId="0" fontId="59" fillId="0" borderId="0" xfId="0" applyFont="1" applyAlignment="1">
      <alignment horizontal="left" vertical="center"/>
    </xf>
    <xf numFmtId="3" fontId="38" fillId="0" borderId="0" xfId="0" applyNumberFormat="1" applyFont="1">
      <alignment vertical="center"/>
    </xf>
    <xf numFmtId="0" fontId="50" fillId="0" borderId="0" xfId="0" applyFont="1" applyAlignment="1">
      <alignment horizontal="left" vertical="center"/>
    </xf>
    <xf numFmtId="0" fontId="52" fillId="0" borderId="0" xfId="0" applyFont="1" applyAlignment="1">
      <alignment horizontal="center"/>
    </xf>
    <xf numFmtId="0" fontId="5" fillId="16" borderId="1" xfId="0" applyFont="1" applyFill="1" applyBorder="1" applyAlignment="1">
      <alignment horizontal="center"/>
    </xf>
    <xf numFmtId="0" fontId="5" fillId="16" borderId="1" xfId="0" applyFont="1" applyFill="1" applyBorder="1" applyAlignment="1">
      <alignment horizontal="center" vertical="center"/>
    </xf>
    <xf numFmtId="0" fontId="3" fillId="16" borderId="0" xfId="0" applyFont="1" applyFill="1" applyBorder="1" applyAlignment="1">
      <alignment horizontal="center" vertical="center" wrapText="1"/>
    </xf>
    <xf numFmtId="164" fontId="12" fillId="16" borderId="0" xfId="1" applyNumberFormat="1" applyFont="1" applyFill="1" applyBorder="1" applyAlignment="1" applyProtection="1">
      <alignment horizontal="center" wrapText="1"/>
    </xf>
    <xf numFmtId="164" fontId="12" fillId="16" borderId="0" xfId="1" applyNumberFormat="1" applyFont="1" applyFill="1" applyBorder="1" applyAlignment="1" applyProtection="1">
      <alignment horizontal="center" vertical="center"/>
    </xf>
    <xf numFmtId="165" fontId="12" fillId="16" borderId="0" xfId="1" applyNumberFormat="1" applyFont="1" applyFill="1" applyBorder="1" applyAlignment="1" applyProtection="1">
      <alignment horizontal="center"/>
    </xf>
    <xf numFmtId="165" fontId="12" fillId="16" borderId="0" xfId="1" applyNumberFormat="1" applyFont="1" applyFill="1" applyBorder="1" applyAlignment="1" applyProtection="1">
      <alignment horizontal="center" vertical="center"/>
    </xf>
    <xf numFmtId="0" fontId="50" fillId="0" borderId="0" xfId="0" applyFont="1" applyAlignment="1">
      <alignment horizontal="left" vertical="center"/>
    </xf>
    <xf numFmtId="0" fontId="59" fillId="0" borderId="0" xfId="0" applyFont="1" applyAlignment="1">
      <alignment horizontal="left" vertical="center"/>
    </xf>
    <xf numFmtId="0" fontId="5" fillId="16" borderId="1" xfId="0" applyFont="1" applyFill="1" applyBorder="1" applyAlignment="1">
      <alignment horizontal="center" vertical="center"/>
    </xf>
    <xf numFmtId="0" fontId="104" fillId="0" borderId="0" xfId="0" applyFont="1" applyAlignment="1">
      <alignment horizontal="center" vertical="center"/>
    </xf>
    <xf numFmtId="0" fontId="2" fillId="10" borderId="6" xfId="0" applyFont="1" applyFill="1" applyBorder="1" applyAlignment="1">
      <alignment horizontal="center" vertical="center"/>
    </xf>
    <xf numFmtId="0" fontId="2" fillId="10" borderId="10" xfId="0" applyFont="1" applyFill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4" fillId="0" borderId="10" xfId="0" applyFont="1" applyBorder="1" applyAlignment="1">
      <alignment horizontal="center" vertical="center"/>
    </xf>
    <xf numFmtId="0" fontId="2" fillId="10" borderId="1" xfId="0" applyFont="1" applyFill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12" fillId="20" borderId="38" xfId="0" applyFont="1" applyFill="1" applyBorder="1" applyAlignment="1">
      <alignment horizontal="left" wrapText="1"/>
    </xf>
    <xf numFmtId="0" fontId="12" fillId="20" borderId="7" xfId="0" applyFont="1" applyFill="1" applyBorder="1" applyAlignment="1">
      <alignment horizontal="left" wrapText="1"/>
    </xf>
    <xf numFmtId="0" fontId="12" fillId="20" borderId="10" xfId="0" applyFont="1" applyFill="1" applyBorder="1" applyAlignment="1">
      <alignment horizontal="left" wrapText="1"/>
    </xf>
    <xf numFmtId="0" fontId="12" fillId="16" borderId="38" xfId="0" applyFont="1" applyFill="1" applyBorder="1" applyAlignment="1">
      <alignment horizontal="center"/>
    </xf>
    <xf numFmtId="0" fontId="12" fillId="16" borderId="7" xfId="0" applyFont="1" applyFill="1" applyBorder="1" applyAlignment="1">
      <alignment horizontal="center"/>
    </xf>
    <xf numFmtId="0" fontId="12" fillId="16" borderId="10" xfId="0" applyFont="1" applyFill="1" applyBorder="1" applyAlignment="1">
      <alignment horizontal="center"/>
    </xf>
    <xf numFmtId="0" fontId="50" fillId="0" borderId="0" xfId="0" applyFont="1" applyAlignment="1">
      <alignment horizontal="left" vertical="center"/>
    </xf>
    <xf numFmtId="3" fontId="44" fillId="18" borderId="6" xfId="0" applyNumberFormat="1" applyFont="1" applyFill="1" applyBorder="1" applyAlignment="1">
      <alignment horizontal="center" wrapText="1"/>
    </xf>
    <xf numFmtId="3" fontId="44" fillId="18" borderId="10" xfId="0" applyNumberFormat="1" applyFont="1" applyFill="1" applyBorder="1" applyAlignment="1">
      <alignment horizontal="center" wrapText="1"/>
    </xf>
    <xf numFmtId="3" fontId="42" fillId="10" borderId="66" xfId="0" applyNumberFormat="1" applyFont="1" applyFill="1" applyBorder="1" applyAlignment="1">
      <alignment horizontal="center" wrapText="1"/>
    </xf>
    <xf numFmtId="3" fontId="42" fillId="10" borderId="64" xfId="0" applyNumberFormat="1" applyFont="1" applyFill="1" applyBorder="1" applyAlignment="1">
      <alignment horizontal="center" wrapText="1"/>
    </xf>
    <xf numFmtId="3" fontId="42" fillId="10" borderId="6" xfId="0" applyNumberFormat="1" applyFont="1" applyFill="1" applyBorder="1" applyAlignment="1">
      <alignment horizontal="center" wrapText="1"/>
    </xf>
    <xf numFmtId="3" fontId="42" fillId="10" borderId="10" xfId="0" applyNumberFormat="1" applyFont="1" applyFill="1" applyBorder="1" applyAlignment="1">
      <alignment horizontal="center" wrapText="1"/>
    </xf>
    <xf numFmtId="0" fontId="3" fillId="15" borderId="47" xfId="0" applyFont="1" applyFill="1" applyBorder="1" applyAlignment="1">
      <alignment horizontal="center" vertical="top" wrapText="1"/>
    </xf>
    <xf numFmtId="0" fontId="3" fillId="15" borderId="48" xfId="0" applyFont="1" applyFill="1" applyBorder="1" applyAlignment="1">
      <alignment horizontal="center" vertical="top" wrapText="1"/>
    </xf>
    <xf numFmtId="0" fontId="12" fillId="20" borderId="1" xfId="0" applyFont="1" applyFill="1" applyBorder="1" applyAlignment="1" applyProtection="1">
      <alignment horizontal="center" vertical="center" wrapText="1"/>
      <protection locked="0"/>
    </xf>
    <xf numFmtId="3" fontId="42" fillId="10" borderId="1" xfId="0" applyNumberFormat="1" applyFont="1" applyFill="1" applyBorder="1" applyAlignment="1">
      <alignment horizontal="center" wrapText="1"/>
    </xf>
    <xf numFmtId="0" fontId="5" fillId="15" borderId="38" xfId="0" applyFont="1" applyFill="1" applyBorder="1" applyAlignment="1">
      <alignment horizontal="center" vertical="top" wrapText="1"/>
    </xf>
    <xf numFmtId="0" fontId="5" fillId="15" borderId="7" xfId="0" applyFont="1" applyFill="1" applyBorder="1" applyAlignment="1">
      <alignment horizontal="center" vertical="top" wrapText="1"/>
    </xf>
    <xf numFmtId="0" fontId="47" fillId="10" borderId="44" xfId="0" applyFont="1" applyFill="1" applyBorder="1" applyAlignment="1">
      <alignment horizontal="center" wrapText="1"/>
    </xf>
    <xf numFmtId="0" fontId="47" fillId="10" borderId="13" xfId="0" applyFont="1" applyFill="1" applyBorder="1" applyAlignment="1">
      <alignment horizontal="center" wrapText="1"/>
    </xf>
    <xf numFmtId="0" fontId="5" fillId="15" borderId="36" xfId="0" applyFont="1" applyFill="1" applyBorder="1" applyAlignment="1">
      <alignment horizontal="center" vertical="top" wrapText="1"/>
    </xf>
    <xf numFmtId="0" fontId="5" fillId="15" borderId="37" xfId="0" applyFont="1" applyFill="1" applyBorder="1" applyAlignment="1">
      <alignment horizontal="center" vertical="top" wrapText="1"/>
    </xf>
    <xf numFmtId="0" fontId="12" fillId="20" borderId="6" xfId="0" applyFont="1" applyFill="1" applyBorder="1" applyAlignment="1" applyProtection="1">
      <alignment horizontal="center" vertical="center" wrapText="1"/>
      <protection locked="0"/>
    </xf>
    <xf numFmtId="0" fontId="12" fillId="20" borderId="7" xfId="0" applyFont="1" applyFill="1" applyBorder="1" applyAlignment="1" applyProtection="1">
      <alignment horizontal="center" vertical="center" wrapText="1"/>
      <protection locked="0"/>
    </xf>
    <xf numFmtId="0" fontId="12" fillId="20" borderId="10" xfId="0" applyFont="1" applyFill="1" applyBorder="1" applyAlignment="1" applyProtection="1">
      <alignment horizontal="center" vertical="center" wrapText="1"/>
      <protection locked="0"/>
    </xf>
    <xf numFmtId="0" fontId="5" fillId="16" borderId="1" xfId="0" applyFont="1" applyFill="1" applyBorder="1" applyAlignment="1">
      <alignment horizontal="center"/>
    </xf>
    <xf numFmtId="0" fontId="59" fillId="0" borderId="0" xfId="0" applyFont="1" applyAlignment="1">
      <alignment horizontal="left" vertical="center"/>
    </xf>
    <xf numFmtId="0" fontId="14" fillId="0" borderId="6" xfId="0" applyFont="1" applyBorder="1" applyAlignment="1">
      <alignment horizontal="center" vertical="center" wrapText="1"/>
    </xf>
    <xf numFmtId="0" fontId="14" fillId="0" borderId="10" xfId="0" applyFont="1" applyBorder="1" applyAlignment="1">
      <alignment horizontal="center" vertical="center" wrapText="1"/>
    </xf>
    <xf numFmtId="0" fontId="47" fillId="0" borderId="0" xfId="0" applyFont="1" applyAlignment="1">
      <alignment horizontal="right"/>
    </xf>
    <xf numFmtId="0" fontId="7" fillId="17" borderId="64" xfId="0" applyFont="1" applyFill="1" applyBorder="1" applyAlignment="1">
      <alignment horizontal="center" vertical="center"/>
    </xf>
    <xf numFmtId="0" fontId="7" fillId="17" borderId="26" xfId="0" applyFont="1" applyFill="1" applyBorder="1" applyAlignment="1">
      <alignment horizontal="center" vertical="center" wrapText="1"/>
    </xf>
    <xf numFmtId="0" fontId="7" fillId="17" borderId="27" xfId="0" applyFont="1" applyFill="1" applyBorder="1" applyAlignment="1">
      <alignment horizontal="center" vertical="center" wrapText="1"/>
    </xf>
    <xf numFmtId="0" fontId="5" fillId="19" borderId="29" xfId="0" applyFont="1" applyFill="1" applyBorder="1" applyAlignment="1">
      <alignment horizontal="left"/>
    </xf>
    <xf numFmtId="0" fontId="5" fillId="19" borderId="1" xfId="0" applyFont="1" applyFill="1" applyBorder="1" applyAlignment="1">
      <alignment horizontal="left"/>
    </xf>
    <xf numFmtId="0" fontId="7" fillId="17" borderId="36" xfId="0" applyFont="1" applyFill="1" applyBorder="1" applyAlignment="1">
      <alignment horizontal="center"/>
    </xf>
    <xf numFmtId="0" fontId="7" fillId="17" borderId="37" xfId="0" applyFont="1" applyFill="1" applyBorder="1" applyAlignment="1">
      <alignment horizontal="center"/>
    </xf>
    <xf numFmtId="0" fontId="7" fillId="17" borderId="34" xfId="0" applyFont="1" applyFill="1" applyBorder="1" applyAlignment="1">
      <alignment horizontal="center"/>
    </xf>
    <xf numFmtId="0" fontId="5" fillId="19" borderId="38" xfId="0" applyFont="1" applyFill="1" applyBorder="1" applyAlignment="1">
      <alignment horizontal="left"/>
    </xf>
    <xf numFmtId="0" fontId="5" fillId="19" borderId="7" xfId="0" applyFont="1" applyFill="1" applyBorder="1" applyAlignment="1">
      <alignment horizontal="left"/>
    </xf>
    <xf numFmtId="0" fontId="5" fillId="19" borderId="10" xfId="0" applyFont="1" applyFill="1" applyBorder="1" applyAlignment="1">
      <alignment horizontal="left"/>
    </xf>
    <xf numFmtId="0" fontId="8" fillId="19" borderId="64" xfId="0" applyFont="1" applyFill="1" applyBorder="1" applyAlignment="1">
      <alignment horizontal="left"/>
    </xf>
    <xf numFmtId="164" fontId="59" fillId="17" borderId="8" xfId="1" applyNumberFormat="1" applyFont="1" applyFill="1" applyBorder="1" applyAlignment="1" applyProtection="1">
      <alignment horizontal="center" vertical="center"/>
    </xf>
    <xf numFmtId="164" fontId="59" fillId="17" borderId="9" xfId="1" applyNumberFormat="1" applyFont="1" applyFill="1" applyBorder="1" applyAlignment="1" applyProtection="1">
      <alignment horizontal="center" vertical="center"/>
    </xf>
    <xf numFmtId="0" fontId="5" fillId="19" borderId="31" xfId="0" applyFont="1" applyFill="1" applyBorder="1" applyAlignment="1">
      <alignment horizontal="left"/>
    </xf>
    <xf numFmtId="0" fontId="5" fillId="19" borderId="32" xfId="0" applyFont="1" applyFill="1" applyBorder="1" applyAlignment="1">
      <alignment horizontal="left"/>
    </xf>
    <xf numFmtId="0" fontId="5" fillId="19" borderId="29" xfId="0" applyFont="1" applyFill="1" applyBorder="1" applyAlignment="1">
      <alignment horizontal="left" vertical="center"/>
    </xf>
    <xf numFmtId="0" fontId="5" fillId="19" borderId="1" xfId="0" applyFont="1" applyFill="1" applyBorder="1" applyAlignment="1">
      <alignment horizontal="left" vertical="center"/>
    </xf>
    <xf numFmtId="0" fontId="5" fillId="19" borderId="64" xfId="0" applyFont="1" applyFill="1" applyBorder="1" applyAlignment="1">
      <alignment horizontal="left" vertical="center"/>
    </xf>
    <xf numFmtId="164" fontId="8" fillId="0" borderId="0" xfId="0" applyNumberFormat="1" applyFont="1" applyAlignment="1">
      <alignment horizontal="center"/>
    </xf>
    <xf numFmtId="0" fontId="12" fillId="17" borderId="44" xfId="0" applyFont="1" applyFill="1" applyBorder="1" applyAlignment="1">
      <alignment horizontal="center" vertical="top" wrapText="1"/>
    </xf>
    <xf numFmtId="0" fontId="12" fillId="17" borderId="9" xfId="0" applyFont="1" applyFill="1" applyBorder="1" applyAlignment="1">
      <alignment horizontal="center" vertical="top" wrapText="1"/>
    </xf>
    <xf numFmtId="0" fontId="12" fillId="17" borderId="45" xfId="0" applyFont="1" applyFill="1" applyBorder="1" applyAlignment="1">
      <alignment horizontal="center"/>
    </xf>
    <xf numFmtId="0" fontId="12" fillId="17" borderId="46" xfId="0" applyFont="1" applyFill="1" applyBorder="1" applyAlignment="1">
      <alignment horizontal="center"/>
    </xf>
    <xf numFmtId="0" fontId="5" fillId="16" borderId="38" xfId="0" applyFont="1" applyFill="1" applyBorder="1" applyAlignment="1">
      <alignment horizontal="center"/>
    </xf>
    <xf numFmtId="0" fontId="5" fillId="16" borderId="7" xfId="0" applyFont="1" applyFill="1" applyBorder="1" applyAlignment="1">
      <alignment horizontal="center"/>
    </xf>
    <xf numFmtId="0" fontId="5" fillId="16" borderId="10" xfId="0" applyFont="1" applyFill="1" applyBorder="1" applyAlignment="1">
      <alignment horizontal="center"/>
    </xf>
    <xf numFmtId="0" fontId="0" fillId="10" borderId="1" xfId="0" applyFill="1" applyBorder="1" applyAlignment="1">
      <alignment horizontal="center" vertical="center"/>
    </xf>
    <xf numFmtId="0" fontId="5" fillId="19" borderId="64" xfId="0" applyFont="1" applyFill="1" applyBorder="1" applyAlignment="1">
      <alignment horizontal="center"/>
    </xf>
    <xf numFmtId="0" fontId="5" fillId="19" borderId="64" xfId="0" applyFont="1" applyFill="1" applyBorder="1" applyAlignment="1">
      <alignment horizontal="left"/>
    </xf>
    <xf numFmtId="0" fontId="5" fillId="10" borderId="42" xfId="0" applyFont="1" applyFill="1" applyBorder="1" applyAlignment="1">
      <alignment wrapText="1"/>
    </xf>
    <xf numFmtId="0" fontId="5" fillId="10" borderId="0" xfId="0" applyFont="1" applyFill="1" applyAlignment="1">
      <alignment wrapText="1"/>
    </xf>
    <xf numFmtId="0" fontId="5" fillId="10" borderId="5" xfId="0" applyFont="1" applyFill="1" applyBorder="1" applyAlignment="1">
      <alignment wrapText="1"/>
    </xf>
    <xf numFmtId="164" fontId="59" fillId="17" borderId="59" xfId="0" applyNumberFormat="1" applyFont="1" applyFill="1" applyBorder="1" applyAlignment="1">
      <alignment horizontal="center" vertical="center"/>
    </xf>
    <xf numFmtId="164" fontId="59" fillId="17" borderId="60" xfId="0" applyNumberFormat="1" applyFont="1" applyFill="1" applyBorder="1" applyAlignment="1">
      <alignment horizontal="center" vertical="center"/>
    </xf>
    <xf numFmtId="0" fontId="12" fillId="20" borderId="38" xfId="0" applyFont="1" applyFill="1" applyBorder="1" applyAlignment="1">
      <alignment horizontal="left"/>
    </xf>
    <xf numFmtId="0" fontId="12" fillId="20" borderId="7" xfId="0" applyFont="1" applyFill="1" applyBorder="1" applyAlignment="1">
      <alignment horizontal="left"/>
    </xf>
    <xf numFmtId="0" fontId="12" fillId="20" borderId="10" xfId="0" applyFont="1" applyFill="1" applyBorder="1" applyAlignment="1">
      <alignment horizontal="left"/>
    </xf>
    <xf numFmtId="0" fontId="7" fillId="17" borderId="36" xfId="0" applyFont="1" applyFill="1" applyBorder="1" applyAlignment="1">
      <alignment horizontal="center" vertical="center"/>
    </xf>
    <xf numFmtId="0" fontId="7" fillId="17" borderId="37" xfId="0" applyFont="1" applyFill="1" applyBorder="1" applyAlignment="1">
      <alignment horizontal="center" vertical="center"/>
    </xf>
    <xf numFmtId="0" fontId="7" fillId="17" borderId="34" xfId="0" applyFont="1" applyFill="1" applyBorder="1" applyAlignment="1">
      <alignment horizontal="center" vertical="center"/>
    </xf>
    <xf numFmtId="0" fontId="12" fillId="20" borderId="38" xfId="0" applyFont="1" applyFill="1" applyBorder="1" applyAlignment="1">
      <alignment horizontal="left" vertical="center"/>
    </xf>
    <xf numFmtId="0" fontId="12" fillId="20" borderId="7" xfId="0" applyFont="1" applyFill="1" applyBorder="1" applyAlignment="1">
      <alignment horizontal="left" vertical="center"/>
    </xf>
    <xf numFmtId="0" fontId="12" fillId="20" borderId="10" xfId="0" applyFont="1" applyFill="1" applyBorder="1" applyAlignment="1">
      <alignment horizontal="left" vertical="center"/>
    </xf>
    <xf numFmtId="0" fontId="7" fillId="14" borderId="2" xfId="0" applyFont="1" applyFill="1" applyBorder="1" applyAlignment="1">
      <alignment horizontal="center"/>
    </xf>
    <xf numFmtId="0" fontId="7" fillId="14" borderId="0" xfId="0" applyFont="1" applyFill="1" applyAlignment="1">
      <alignment horizontal="center"/>
    </xf>
    <xf numFmtId="0" fontId="7" fillId="14" borderId="5" xfId="0" applyFont="1" applyFill="1" applyBorder="1" applyAlignment="1">
      <alignment horizontal="center"/>
    </xf>
    <xf numFmtId="0" fontId="7" fillId="19" borderId="39" xfId="0" applyFont="1" applyFill="1" applyBorder="1" applyAlignment="1">
      <alignment horizontal="right"/>
    </xf>
    <xf numFmtId="0" fontId="7" fillId="19" borderId="40" xfId="0" applyFont="1" applyFill="1" applyBorder="1" applyAlignment="1">
      <alignment horizontal="right"/>
    </xf>
    <xf numFmtId="0" fontId="7" fillId="19" borderId="35" xfId="0" applyFont="1" applyFill="1" applyBorder="1" applyAlignment="1">
      <alignment horizontal="right"/>
    </xf>
    <xf numFmtId="0" fontId="58" fillId="20" borderId="39" xfId="0" applyFont="1" applyFill="1" applyBorder="1" applyAlignment="1">
      <alignment horizontal="left" wrapText="1"/>
    </xf>
    <xf numFmtId="0" fontId="58" fillId="20" borderId="40" xfId="0" applyFont="1" applyFill="1" applyBorder="1" applyAlignment="1">
      <alignment horizontal="left" wrapText="1"/>
    </xf>
    <xf numFmtId="0" fontId="58" fillId="20" borderId="35" xfId="0" applyFont="1" applyFill="1" applyBorder="1" applyAlignment="1">
      <alignment horizontal="left" wrapText="1"/>
    </xf>
    <xf numFmtId="0" fontId="12" fillId="17" borderId="50" xfId="0" applyFont="1" applyFill="1" applyBorder="1" applyAlignment="1">
      <alignment horizontal="center"/>
    </xf>
    <xf numFmtId="0" fontId="12" fillId="17" borderId="51" xfId="0" applyFont="1" applyFill="1" applyBorder="1" applyAlignment="1">
      <alignment horizontal="center"/>
    </xf>
    <xf numFmtId="0" fontId="12" fillId="17" borderId="63" xfId="0" applyFont="1" applyFill="1" applyBorder="1" applyAlignment="1">
      <alignment horizontal="center"/>
    </xf>
    <xf numFmtId="0" fontId="5" fillId="16" borderId="6" xfId="0" applyFont="1" applyFill="1" applyBorder="1" applyAlignment="1">
      <alignment horizontal="center"/>
    </xf>
    <xf numFmtId="0" fontId="5" fillId="16" borderId="49" xfId="0" applyFont="1" applyFill="1" applyBorder="1" applyAlignment="1">
      <alignment horizontal="center"/>
    </xf>
    <xf numFmtId="0" fontId="7" fillId="19" borderId="50" xfId="0" applyFont="1" applyFill="1" applyBorder="1" applyAlignment="1">
      <alignment horizontal="left"/>
    </xf>
    <xf numFmtId="0" fontId="7" fillId="19" borderId="51" xfId="0" applyFont="1" applyFill="1" applyBorder="1" applyAlignment="1">
      <alignment horizontal="left"/>
    </xf>
    <xf numFmtId="0" fontId="7" fillId="19" borderId="52" xfId="0" applyFont="1" applyFill="1" applyBorder="1" applyAlignment="1">
      <alignment horizontal="left"/>
    </xf>
    <xf numFmtId="0" fontId="5" fillId="15" borderId="39" xfId="0" applyFont="1" applyFill="1" applyBorder="1" applyAlignment="1">
      <alignment horizontal="center" vertical="top" wrapText="1"/>
    </xf>
    <xf numFmtId="0" fontId="5" fillId="15" borderId="40" xfId="0" applyFont="1" applyFill="1" applyBorder="1" applyAlignment="1">
      <alignment horizontal="center" vertical="top" wrapText="1"/>
    </xf>
    <xf numFmtId="0" fontId="5" fillId="16" borderId="1" xfId="0" applyFont="1" applyFill="1" applyBorder="1" applyAlignment="1">
      <alignment horizontal="center" vertical="center"/>
    </xf>
    <xf numFmtId="0" fontId="47" fillId="18" borderId="26" xfId="0" applyFont="1" applyFill="1" applyBorder="1" applyAlignment="1">
      <alignment horizontal="center" vertical="center"/>
    </xf>
    <xf numFmtId="0" fontId="47" fillId="18" borderId="27" xfId="0" applyFont="1" applyFill="1" applyBorder="1" applyAlignment="1">
      <alignment horizontal="center" vertical="center"/>
    </xf>
    <xf numFmtId="0" fontId="47" fillId="18" borderId="28" xfId="0" applyFont="1" applyFill="1" applyBorder="1" applyAlignment="1">
      <alignment horizontal="center" vertical="center"/>
    </xf>
    <xf numFmtId="0" fontId="58" fillId="17" borderId="39" xfId="0" applyFont="1" applyFill="1" applyBorder="1" applyAlignment="1">
      <alignment horizontal="center" wrapText="1"/>
    </xf>
    <xf numFmtId="0" fontId="58" fillId="17" borderId="40" xfId="0" applyFont="1" applyFill="1" applyBorder="1" applyAlignment="1">
      <alignment horizontal="center" wrapText="1"/>
    </xf>
    <xf numFmtId="0" fontId="58" fillId="17" borderId="35" xfId="0" applyFont="1" applyFill="1" applyBorder="1" applyAlignment="1">
      <alignment horizontal="center" wrapText="1"/>
    </xf>
    <xf numFmtId="3" fontId="43" fillId="10" borderId="42" xfId="0" applyNumberFormat="1" applyFont="1" applyFill="1" applyBorder="1" applyAlignment="1">
      <alignment horizontal="center"/>
    </xf>
    <xf numFmtId="3" fontId="43" fillId="10" borderId="0" xfId="0" applyNumberFormat="1" applyFont="1" applyFill="1" applyAlignment="1">
      <alignment horizontal="center"/>
    </xf>
    <xf numFmtId="0" fontId="58" fillId="20" borderId="38" xfId="0" applyFont="1" applyFill="1" applyBorder="1" applyAlignment="1">
      <alignment horizontal="left" wrapText="1"/>
    </xf>
    <xf numFmtId="0" fontId="58" fillId="20" borderId="7" xfId="0" applyFont="1" applyFill="1" applyBorder="1" applyAlignment="1">
      <alignment horizontal="left" wrapText="1"/>
    </xf>
    <xf numFmtId="0" fontId="58" fillId="20" borderId="10" xfId="0" applyFont="1" applyFill="1" applyBorder="1" applyAlignment="1">
      <alignment horizontal="left" wrapText="1"/>
    </xf>
    <xf numFmtId="0" fontId="47" fillId="17" borderId="36" xfId="0" applyFont="1" applyFill="1" applyBorder="1" applyAlignment="1">
      <alignment horizontal="center"/>
    </xf>
    <xf numFmtId="0" fontId="47" fillId="17" borderId="37" xfId="0" applyFont="1" applyFill="1" applyBorder="1" applyAlignment="1">
      <alignment horizontal="center"/>
    </xf>
    <xf numFmtId="0" fontId="47" fillId="17" borderId="34" xfId="0" applyFont="1" applyFill="1" applyBorder="1" applyAlignment="1">
      <alignment horizontal="center"/>
    </xf>
    <xf numFmtId="0" fontId="44" fillId="10" borderId="39" xfId="0" applyFont="1" applyFill="1" applyBorder="1" applyAlignment="1">
      <alignment horizontal="center"/>
    </xf>
    <xf numFmtId="0" fontId="44" fillId="10" borderId="40" xfId="0" applyFont="1" applyFill="1" applyBorder="1" applyAlignment="1">
      <alignment horizontal="center"/>
    </xf>
    <xf numFmtId="0" fontId="44" fillId="10" borderId="35" xfId="0" applyFont="1" applyFill="1" applyBorder="1" applyAlignment="1">
      <alignment horizontal="center"/>
    </xf>
    <xf numFmtId="0" fontId="20" fillId="0" borderId="0" xfId="0" applyFont="1" applyAlignment="1">
      <alignment horizontal="left" vertical="center"/>
    </xf>
    <xf numFmtId="0" fontId="19" fillId="0" borderId="0" xfId="0" applyFont="1" applyAlignment="1">
      <alignment horizontal="left" vertical="center"/>
    </xf>
    <xf numFmtId="0" fontId="9" fillId="0" borderId="0" xfId="0" applyFont="1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0" fontId="52" fillId="0" borderId="0" xfId="0" applyFont="1" applyAlignment="1">
      <alignment horizontal="center"/>
    </xf>
    <xf numFmtId="0" fontId="44" fillId="17" borderId="36" xfId="0" applyFont="1" applyFill="1" applyBorder="1" applyAlignment="1">
      <alignment horizontal="center" wrapText="1"/>
    </xf>
    <xf numFmtId="0" fontId="44" fillId="17" borderId="37" xfId="0" applyFont="1" applyFill="1" applyBorder="1" applyAlignment="1">
      <alignment horizontal="center" wrapText="1"/>
    </xf>
    <xf numFmtId="0" fontId="44" fillId="17" borderId="34" xfId="0" applyFont="1" applyFill="1" applyBorder="1" applyAlignment="1">
      <alignment horizontal="center" wrapText="1"/>
    </xf>
    <xf numFmtId="0" fontId="7" fillId="23" borderId="0" xfId="0" applyFont="1" applyFill="1" applyAlignment="1">
      <alignment horizontal="center" vertical="top" wrapText="1"/>
    </xf>
    <xf numFmtId="0" fontId="5" fillId="16" borderId="6" xfId="0" applyFont="1" applyFill="1" applyBorder="1" applyAlignment="1">
      <alignment horizontal="center" vertical="center"/>
    </xf>
    <xf numFmtId="0" fontId="5" fillId="16" borderId="10" xfId="0" applyFont="1" applyFill="1" applyBorder="1" applyAlignment="1">
      <alignment horizontal="center" vertical="center"/>
    </xf>
    <xf numFmtId="0" fontId="5" fillId="16" borderId="1" xfId="0" applyFont="1" applyFill="1" applyBorder="1" applyAlignment="1">
      <alignment horizontal="center" wrapText="1"/>
    </xf>
    <xf numFmtId="0" fontId="5" fillId="16" borderId="30" xfId="0" applyFont="1" applyFill="1" applyBorder="1" applyAlignment="1">
      <alignment horizontal="center" wrapText="1"/>
    </xf>
    <xf numFmtId="0" fontId="5" fillId="15" borderId="10" xfId="0" applyFont="1" applyFill="1" applyBorder="1" applyAlignment="1">
      <alignment horizontal="center" vertical="top" wrapText="1"/>
    </xf>
    <xf numFmtId="0" fontId="51" fillId="0" borderId="0" xfId="0" applyFont="1" applyAlignment="1">
      <alignment horizontal="center"/>
    </xf>
    <xf numFmtId="0" fontId="63" fillId="0" borderId="13" xfId="0" applyFont="1" applyBorder="1" applyAlignment="1">
      <alignment horizontal="center" vertical="center"/>
    </xf>
    <xf numFmtId="14" fontId="22" fillId="2" borderId="13" xfId="0" applyNumberFormat="1" applyFont="1" applyFill="1" applyBorder="1" applyAlignment="1">
      <alignment horizontal="left"/>
    </xf>
    <xf numFmtId="0" fontId="77" fillId="2" borderId="14" xfId="0" applyFont="1" applyFill="1" applyBorder="1" applyAlignment="1">
      <alignment horizontal="center" vertical="center" wrapText="1"/>
    </xf>
    <xf numFmtId="0" fontId="77" fillId="2" borderId="15" xfId="0" applyFont="1" applyFill="1" applyBorder="1" applyAlignment="1">
      <alignment horizontal="center" vertical="center" wrapText="1"/>
    </xf>
    <xf numFmtId="0" fontId="77" fillId="2" borderId="11" xfId="0" applyFont="1" applyFill="1" applyBorder="1" applyAlignment="1">
      <alignment horizontal="center" vertical="center" wrapText="1"/>
    </xf>
    <xf numFmtId="0" fontId="75" fillId="2" borderId="6" xfId="0" applyFont="1" applyFill="1" applyBorder="1" applyAlignment="1">
      <alignment horizontal="center" vertical="center" wrapText="1"/>
    </xf>
    <xf numFmtId="0" fontId="75" fillId="2" borderId="7" xfId="0" applyFont="1" applyFill="1" applyBorder="1" applyAlignment="1">
      <alignment horizontal="center" vertical="center" wrapText="1"/>
    </xf>
    <xf numFmtId="0" fontId="75" fillId="2" borderId="10" xfId="0" applyFont="1" applyFill="1" applyBorder="1" applyAlignment="1">
      <alignment horizontal="center" vertical="center" wrapText="1"/>
    </xf>
    <xf numFmtId="14" fontId="80" fillId="2" borderId="6" xfId="0" applyNumberFormat="1" applyFont="1" applyFill="1" applyBorder="1" applyAlignment="1">
      <alignment horizontal="center" vertical="center" wrapText="1"/>
    </xf>
    <xf numFmtId="14" fontId="80" fillId="2" borderId="7" xfId="0" applyNumberFormat="1" applyFont="1" applyFill="1" applyBorder="1" applyAlignment="1">
      <alignment horizontal="center" vertical="center" wrapText="1"/>
    </xf>
    <xf numFmtId="14" fontId="80" fillId="2" borderId="10" xfId="0" applyNumberFormat="1" applyFont="1" applyFill="1" applyBorder="1" applyAlignment="1">
      <alignment horizontal="center" vertical="center" wrapText="1"/>
    </xf>
    <xf numFmtId="0" fontId="79" fillId="2" borderId="14" xfId="0" applyFont="1" applyFill="1" applyBorder="1" applyAlignment="1">
      <alignment horizontal="center" vertical="center" wrapText="1"/>
    </xf>
    <xf numFmtId="0" fontId="79" fillId="2" borderId="15" xfId="0" applyFont="1" applyFill="1" applyBorder="1" applyAlignment="1">
      <alignment horizontal="center" vertical="center" wrapText="1"/>
    </xf>
    <xf numFmtId="0" fontId="79" fillId="2" borderId="11" xfId="0" applyFont="1" applyFill="1" applyBorder="1" applyAlignment="1">
      <alignment horizontal="center" vertical="center" wrapText="1"/>
    </xf>
    <xf numFmtId="0" fontId="77" fillId="2" borderId="6" xfId="0" applyFont="1" applyFill="1" applyBorder="1" applyAlignment="1">
      <alignment horizontal="center" vertical="center" wrapText="1"/>
    </xf>
    <xf numFmtId="0" fontId="77" fillId="2" borderId="7" xfId="0" applyFont="1" applyFill="1" applyBorder="1" applyAlignment="1">
      <alignment horizontal="center" vertical="center" wrapText="1"/>
    </xf>
    <xf numFmtId="0" fontId="77" fillId="2" borderId="10" xfId="0" applyFont="1" applyFill="1" applyBorder="1" applyAlignment="1">
      <alignment horizontal="center" vertical="center" wrapText="1"/>
    </xf>
    <xf numFmtId="0" fontId="77" fillId="2" borderId="3" xfId="0" applyFont="1" applyFill="1" applyBorder="1" applyAlignment="1">
      <alignment horizontal="center" vertical="center" wrapText="1"/>
    </xf>
    <xf numFmtId="0" fontId="77" fillId="2" borderId="12" xfId="0" applyFont="1" applyFill="1" applyBorder="1" applyAlignment="1">
      <alignment horizontal="center" vertical="center" wrapText="1"/>
    </xf>
    <xf numFmtId="0" fontId="77" fillId="2" borderId="4" xfId="0" applyFont="1" applyFill="1" applyBorder="1" applyAlignment="1">
      <alignment horizontal="center" vertical="center" wrapText="1"/>
    </xf>
    <xf numFmtId="0" fontId="77" fillId="2" borderId="2" xfId="0" applyFont="1" applyFill="1" applyBorder="1" applyAlignment="1">
      <alignment horizontal="center" vertical="center" wrapText="1"/>
    </xf>
    <xf numFmtId="0" fontId="77" fillId="2" borderId="0" xfId="0" applyFont="1" applyFill="1" applyBorder="1" applyAlignment="1">
      <alignment horizontal="center" vertical="center" wrapText="1"/>
    </xf>
    <xf numFmtId="0" fontId="77" fillId="2" borderId="5" xfId="0" applyFont="1" applyFill="1" applyBorder="1" applyAlignment="1">
      <alignment horizontal="center" vertical="center" wrapText="1"/>
    </xf>
    <xf numFmtId="0" fontId="77" fillId="2" borderId="8" xfId="0" applyFont="1" applyFill="1" applyBorder="1" applyAlignment="1">
      <alignment horizontal="center" vertical="center" wrapText="1"/>
    </xf>
    <xf numFmtId="0" fontId="77" fillId="2" borderId="13" xfId="0" applyFont="1" applyFill="1" applyBorder="1" applyAlignment="1">
      <alignment horizontal="center" vertical="center" wrapText="1"/>
    </xf>
    <xf numFmtId="0" fontId="77" fillId="2" borderId="9" xfId="0" applyFont="1" applyFill="1" applyBorder="1" applyAlignment="1">
      <alignment horizontal="center" vertical="center" wrapText="1"/>
    </xf>
    <xf numFmtId="0" fontId="80" fillId="2" borderId="6" xfId="0" applyFont="1" applyFill="1" applyBorder="1" applyAlignment="1">
      <alignment horizontal="center" vertical="center" wrapText="1"/>
    </xf>
    <xf numFmtId="0" fontId="80" fillId="2" borderId="7" xfId="0" applyFont="1" applyFill="1" applyBorder="1" applyAlignment="1">
      <alignment horizontal="center" vertical="center" wrapText="1"/>
    </xf>
    <xf numFmtId="0" fontId="80" fillId="2" borderId="10" xfId="0" applyFont="1" applyFill="1" applyBorder="1" applyAlignment="1">
      <alignment horizontal="center" vertical="center" wrapText="1"/>
    </xf>
    <xf numFmtId="0" fontId="80" fillId="2" borderId="3" xfId="0" applyFont="1" applyFill="1" applyBorder="1" applyAlignment="1">
      <alignment horizontal="center" vertical="center" wrapText="1"/>
    </xf>
    <xf numFmtId="0" fontId="80" fillId="2" borderId="12" xfId="0" applyFont="1" applyFill="1" applyBorder="1" applyAlignment="1">
      <alignment horizontal="center" vertical="center" wrapText="1"/>
    </xf>
    <xf numFmtId="0" fontId="80" fillId="2" borderId="4" xfId="0" applyFont="1" applyFill="1" applyBorder="1" applyAlignment="1">
      <alignment horizontal="center" vertical="center" wrapText="1"/>
    </xf>
    <xf numFmtId="0" fontId="80" fillId="2" borderId="8" xfId="0" applyFont="1" applyFill="1" applyBorder="1" applyAlignment="1">
      <alignment horizontal="center" vertical="center" wrapText="1"/>
    </xf>
    <xf numFmtId="0" fontId="80" fillId="2" borderId="13" xfId="0" applyFont="1" applyFill="1" applyBorder="1" applyAlignment="1">
      <alignment horizontal="center" vertical="center" wrapText="1"/>
    </xf>
    <xf numFmtId="0" fontId="80" fillId="2" borderId="9" xfId="0" applyFont="1" applyFill="1" applyBorder="1" applyAlignment="1">
      <alignment horizontal="center" vertical="center" wrapText="1"/>
    </xf>
    <xf numFmtId="0" fontId="80" fillId="2" borderId="14" xfId="0" applyFont="1" applyFill="1" applyBorder="1" applyAlignment="1">
      <alignment horizontal="center" vertical="center" wrapText="1"/>
    </xf>
    <xf numFmtId="0" fontId="80" fillId="2" borderId="15" xfId="0" applyFont="1" applyFill="1" applyBorder="1" applyAlignment="1">
      <alignment horizontal="center" vertical="center" wrapText="1"/>
    </xf>
    <xf numFmtId="0" fontId="80" fillId="2" borderId="11" xfId="0" applyFont="1" applyFill="1" applyBorder="1" applyAlignment="1">
      <alignment horizontal="center" vertical="center" wrapText="1"/>
    </xf>
    <xf numFmtId="0" fontId="63" fillId="0" borderId="7" xfId="0" applyFont="1" applyBorder="1" applyAlignment="1">
      <alignment horizontal="center" vertical="center"/>
    </xf>
    <xf numFmtId="0" fontId="81" fillId="2" borderId="14" xfId="0" applyFont="1" applyFill="1" applyBorder="1" applyAlignment="1">
      <alignment horizontal="center" vertical="center" wrapText="1"/>
    </xf>
    <xf numFmtId="0" fontId="81" fillId="2" borderId="15" xfId="0" applyFont="1" applyFill="1" applyBorder="1" applyAlignment="1">
      <alignment horizontal="center" vertical="center" wrapText="1"/>
    </xf>
    <xf numFmtId="0" fontId="81" fillId="2" borderId="11" xfId="0" applyFont="1" applyFill="1" applyBorder="1" applyAlignment="1">
      <alignment horizontal="center" vertical="center" wrapText="1"/>
    </xf>
    <xf numFmtId="0" fontId="74" fillId="2" borderId="6" xfId="0" applyFont="1" applyFill="1" applyBorder="1" applyAlignment="1">
      <alignment horizontal="center" vertical="center" wrapText="1"/>
    </xf>
    <xf numFmtId="0" fontId="74" fillId="2" borderId="7" xfId="0" applyFont="1" applyFill="1" applyBorder="1" applyAlignment="1">
      <alignment horizontal="center" vertical="center" wrapText="1"/>
    </xf>
    <xf numFmtId="0" fontId="74" fillId="2" borderId="10" xfId="0" applyFont="1" applyFill="1" applyBorder="1" applyAlignment="1">
      <alignment horizontal="center" vertical="center" wrapText="1"/>
    </xf>
    <xf numFmtId="0" fontId="74" fillId="2" borderId="14" xfId="0" applyFont="1" applyFill="1" applyBorder="1" applyAlignment="1">
      <alignment horizontal="center" vertical="center" wrapText="1"/>
    </xf>
    <xf numFmtId="0" fontId="74" fillId="2" borderId="15" xfId="0" applyFont="1" applyFill="1" applyBorder="1" applyAlignment="1">
      <alignment horizontal="center" vertical="center" wrapText="1"/>
    </xf>
    <xf numFmtId="0" fontId="74" fillId="2" borderId="11" xfId="0" applyFont="1" applyFill="1" applyBorder="1" applyAlignment="1">
      <alignment horizontal="center" vertical="center" wrapText="1"/>
    </xf>
    <xf numFmtId="0" fontId="76" fillId="2" borderId="3" xfId="0" applyFont="1" applyFill="1" applyBorder="1" applyAlignment="1">
      <alignment horizontal="center" vertical="center" wrapText="1"/>
    </xf>
    <xf numFmtId="0" fontId="76" fillId="2" borderId="12" xfId="0" applyFont="1" applyFill="1" applyBorder="1" applyAlignment="1">
      <alignment horizontal="center" vertical="center" wrapText="1"/>
    </xf>
    <xf numFmtId="0" fontId="76" fillId="2" borderId="4" xfId="0" applyFont="1" applyFill="1" applyBorder="1" applyAlignment="1">
      <alignment horizontal="center" vertical="center" wrapText="1"/>
    </xf>
    <xf numFmtId="0" fontId="76" fillId="2" borderId="2" xfId="0" applyFont="1" applyFill="1" applyBorder="1" applyAlignment="1">
      <alignment horizontal="center" vertical="center" wrapText="1"/>
    </xf>
    <xf numFmtId="0" fontId="76" fillId="2" borderId="0" xfId="0" applyFont="1" applyFill="1" applyBorder="1" applyAlignment="1">
      <alignment horizontal="center" vertical="center" wrapText="1"/>
    </xf>
    <xf numFmtId="0" fontId="76" fillId="2" borderId="5" xfId="0" applyFont="1" applyFill="1" applyBorder="1" applyAlignment="1">
      <alignment horizontal="center" vertical="center" wrapText="1"/>
    </xf>
    <xf numFmtId="0" fontId="76" fillId="2" borderId="8" xfId="0" applyFont="1" applyFill="1" applyBorder="1" applyAlignment="1">
      <alignment horizontal="center" vertical="center" wrapText="1"/>
    </xf>
    <xf numFmtId="0" fontId="76" fillId="2" borderId="13" xfId="0" applyFont="1" applyFill="1" applyBorder="1" applyAlignment="1">
      <alignment horizontal="center" vertical="center" wrapText="1"/>
    </xf>
    <xf numFmtId="0" fontId="76" fillId="2" borderId="9" xfId="0" applyFont="1" applyFill="1" applyBorder="1" applyAlignment="1">
      <alignment horizontal="center" vertical="center" wrapText="1"/>
    </xf>
    <xf numFmtId="0" fontId="81" fillId="2" borderId="6" xfId="0" applyFont="1" applyFill="1" applyBorder="1" applyAlignment="1">
      <alignment horizontal="center" vertical="center" wrapText="1"/>
    </xf>
    <xf numFmtId="0" fontId="81" fillId="2" borderId="7" xfId="0" applyFont="1" applyFill="1" applyBorder="1" applyAlignment="1">
      <alignment horizontal="center" vertical="center" wrapText="1"/>
    </xf>
    <xf numFmtId="0" fontId="81" fillId="2" borderId="10" xfId="0" applyFont="1" applyFill="1" applyBorder="1" applyAlignment="1">
      <alignment horizontal="center" vertical="center" wrapText="1"/>
    </xf>
    <xf numFmtId="0" fontId="82" fillId="2" borderId="6" xfId="0" applyFont="1" applyFill="1" applyBorder="1" applyAlignment="1">
      <alignment horizontal="center" vertical="center" wrapText="1"/>
    </xf>
    <xf numFmtId="0" fontId="82" fillId="2" borderId="7" xfId="0" applyFont="1" applyFill="1" applyBorder="1" applyAlignment="1">
      <alignment horizontal="center" vertical="center" wrapText="1"/>
    </xf>
    <xf numFmtId="0" fontId="82" fillId="2" borderId="10" xfId="0" applyFont="1" applyFill="1" applyBorder="1" applyAlignment="1">
      <alignment horizontal="center" vertical="center" wrapText="1"/>
    </xf>
    <xf numFmtId="0" fontId="81" fillId="2" borderId="3" xfId="0" applyFont="1" applyFill="1" applyBorder="1" applyAlignment="1">
      <alignment horizontal="center" vertical="center" wrapText="1"/>
    </xf>
    <xf numFmtId="0" fontId="81" fillId="2" borderId="12" xfId="0" applyFont="1" applyFill="1" applyBorder="1" applyAlignment="1">
      <alignment horizontal="center" vertical="center" wrapText="1"/>
    </xf>
    <xf numFmtId="0" fontId="81" fillId="2" borderId="4" xfId="0" applyFont="1" applyFill="1" applyBorder="1" applyAlignment="1">
      <alignment horizontal="center" vertical="center" wrapText="1"/>
    </xf>
    <xf numFmtId="0" fontId="81" fillId="2" borderId="8" xfId="0" applyFont="1" applyFill="1" applyBorder="1" applyAlignment="1">
      <alignment horizontal="center" vertical="center" wrapText="1"/>
    </xf>
    <xf numFmtId="0" fontId="81" fillId="2" borderId="13" xfId="0" applyFont="1" applyFill="1" applyBorder="1" applyAlignment="1">
      <alignment horizontal="center" vertical="center" wrapText="1"/>
    </xf>
    <xf numFmtId="0" fontId="81" fillId="2" borderId="9" xfId="0" applyFont="1" applyFill="1" applyBorder="1" applyAlignment="1">
      <alignment horizontal="center" vertical="center" wrapText="1"/>
    </xf>
    <xf numFmtId="0" fontId="24" fillId="4" borderId="6" xfId="0" applyFont="1" applyFill="1" applyBorder="1" applyAlignment="1">
      <alignment horizontal="center" vertical="center"/>
    </xf>
    <xf numFmtId="0" fontId="24" fillId="4" borderId="7" xfId="0" applyFont="1" applyFill="1" applyBorder="1" applyAlignment="1">
      <alignment horizontal="center" vertical="center"/>
    </xf>
    <xf numFmtId="0" fontId="24" fillId="4" borderId="10" xfId="0" applyFont="1" applyFill="1" applyBorder="1" applyAlignment="1">
      <alignment horizontal="center" vertical="center"/>
    </xf>
    <xf numFmtId="0" fontId="24" fillId="6" borderId="1" xfId="0" applyFont="1" applyFill="1" applyBorder="1" applyAlignment="1">
      <alignment horizontal="center" vertical="center" wrapText="1"/>
    </xf>
    <xf numFmtId="0" fontId="64" fillId="9" borderId="13" xfId="0" applyFont="1" applyFill="1" applyBorder="1" applyAlignment="1">
      <alignment horizontal="center" vertical="center"/>
    </xf>
    <xf numFmtId="0" fontId="24" fillId="4" borderId="6" xfId="0" applyFont="1" applyFill="1" applyBorder="1" applyAlignment="1">
      <alignment horizontal="center" vertical="center" wrapText="1"/>
    </xf>
    <xf numFmtId="0" fontId="24" fillId="4" borderId="10" xfId="0" applyFont="1" applyFill="1" applyBorder="1" applyAlignment="1">
      <alignment horizontal="center" vertical="center" wrapText="1"/>
    </xf>
    <xf numFmtId="0" fontId="27" fillId="0" borderId="3" xfId="0" applyFont="1" applyBorder="1" applyAlignment="1">
      <alignment horizontal="center" vertical="center" wrapText="1"/>
    </xf>
    <xf numFmtId="0" fontId="27" fillId="0" borderId="12" xfId="0" applyFont="1" applyBorder="1" applyAlignment="1">
      <alignment horizontal="center" vertical="center" wrapText="1"/>
    </xf>
    <xf numFmtId="0" fontId="27" fillId="0" borderId="4" xfId="0" applyFont="1" applyBorder="1" applyAlignment="1">
      <alignment horizontal="center" vertical="center" wrapText="1"/>
    </xf>
    <xf numFmtId="0" fontId="27" fillId="0" borderId="2" xfId="0" applyFont="1" applyBorder="1" applyAlignment="1">
      <alignment horizontal="center" vertical="center" wrapText="1"/>
    </xf>
    <xf numFmtId="0" fontId="27" fillId="0" borderId="0" xfId="0" applyFont="1" applyBorder="1" applyAlignment="1">
      <alignment horizontal="center" vertical="center" wrapText="1"/>
    </xf>
    <xf numFmtId="0" fontId="27" fillId="0" borderId="5" xfId="0" applyFont="1" applyBorder="1" applyAlignment="1">
      <alignment horizontal="center" vertical="center" wrapText="1"/>
    </xf>
    <xf numFmtId="0" fontId="27" fillId="0" borderId="8" xfId="0" applyFont="1" applyBorder="1" applyAlignment="1">
      <alignment horizontal="center" vertical="center" wrapText="1"/>
    </xf>
    <xf numFmtId="0" fontId="27" fillId="0" borderId="13" xfId="0" applyFont="1" applyBorder="1" applyAlignment="1">
      <alignment horizontal="center" vertical="center" wrapText="1"/>
    </xf>
    <xf numFmtId="0" fontId="27" fillId="0" borderId="9" xfId="0" applyFont="1" applyBorder="1" applyAlignment="1">
      <alignment horizontal="center" vertical="center" wrapText="1"/>
    </xf>
    <xf numFmtId="0" fontId="27" fillId="0" borderId="6" xfId="0" applyFont="1" applyBorder="1" applyAlignment="1">
      <alignment horizontal="center" vertical="center" wrapText="1"/>
    </xf>
    <xf numFmtId="0" fontId="27" fillId="0" borderId="7" xfId="0" applyFont="1" applyBorder="1" applyAlignment="1">
      <alignment horizontal="center" vertical="center" wrapText="1"/>
    </xf>
    <xf numFmtId="0" fontId="27" fillId="0" borderId="10" xfId="0" applyFont="1" applyBorder="1" applyAlignment="1">
      <alignment horizontal="center" vertical="center" wrapText="1"/>
    </xf>
    <xf numFmtId="17" fontId="93" fillId="0" borderId="6" xfId="0" applyNumberFormat="1" applyFont="1" applyBorder="1" applyAlignment="1">
      <alignment horizontal="center" vertical="center" wrapText="1"/>
    </xf>
    <xf numFmtId="17" fontId="93" fillId="0" borderId="10" xfId="0" applyNumberFormat="1" applyFont="1" applyBorder="1" applyAlignment="1">
      <alignment horizontal="center" vertical="center" wrapText="1"/>
    </xf>
    <xf numFmtId="0" fontId="90" fillId="0" borderId="6" xfId="0" applyFont="1" applyBorder="1" applyAlignment="1">
      <alignment horizontal="center" vertical="center"/>
    </xf>
    <xf numFmtId="0" fontId="90" fillId="0" borderId="10" xfId="0" applyFont="1" applyBorder="1" applyAlignment="1">
      <alignment horizontal="center" vertical="center"/>
    </xf>
    <xf numFmtId="0" fontId="66" fillId="3" borderId="12" xfId="0" applyFont="1" applyFill="1" applyBorder="1" applyAlignment="1">
      <alignment horizontal="center" vertical="center"/>
    </xf>
    <xf numFmtId="0" fontId="27" fillId="0" borderId="6" xfId="0" applyFont="1" applyBorder="1" applyAlignment="1">
      <alignment horizontal="center" vertical="center"/>
    </xf>
    <xf numFmtId="0" fontId="27" fillId="0" borderId="7" xfId="0" applyFont="1" applyBorder="1" applyAlignment="1">
      <alignment horizontal="center" vertical="center"/>
    </xf>
    <xf numFmtId="0" fontId="27" fillId="0" borderId="10" xfId="0" applyFont="1" applyBorder="1" applyAlignment="1">
      <alignment horizontal="center" vertical="center"/>
    </xf>
    <xf numFmtId="0" fontId="27" fillId="0" borderId="16" xfId="0" applyFont="1" applyBorder="1" applyAlignment="1">
      <alignment horizontal="center" vertical="center"/>
    </xf>
    <xf numFmtId="0" fontId="27" fillId="0" borderId="25" xfId="0" applyFont="1" applyBorder="1" applyAlignment="1">
      <alignment horizontal="center" vertical="center"/>
    </xf>
    <xf numFmtId="0" fontId="102" fillId="6" borderId="14" xfId="0" applyFont="1" applyFill="1" applyBorder="1" applyAlignment="1">
      <alignment horizontal="center" vertical="center" wrapText="1"/>
    </xf>
    <xf numFmtId="0" fontId="102" fillId="6" borderId="11" xfId="0" applyFont="1" applyFill="1" applyBorder="1" applyAlignment="1">
      <alignment horizontal="center" vertical="center" wrapText="1"/>
    </xf>
    <xf numFmtId="0" fontId="90" fillId="6" borderId="11" xfId="0" applyFont="1" applyFill="1" applyBorder="1" applyAlignment="1">
      <alignment horizontal="center" vertical="center"/>
    </xf>
    <xf numFmtId="14" fontId="24" fillId="0" borderId="0" xfId="0" applyNumberFormat="1" applyFont="1" applyBorder="1" applyAlignment="1">
      <alignment horizontal="left" vertical="center"/>
    </xf>
    <xf numFmtId="0" fontId="28" fillId="6" borderId="6" xfId="0" applyFont="1" applyFill="1" applyBorder="1" applyAlignment="1">
      <alignment horizontal="center" vertical="center"/>
    </xf>
    <xf numFmtId="0" fontId="28" fillId="6" borderId="7" xfId="0" applyFont="1" applyFill="1" applyBorder="1" applyAlignment="1">
      <alignment horizontal="center" vertical="center"/>
    </xf>
    <xf numFmtId="0" fontId="28" fillId="6" borderId="10" xfId="0" applyFont="1" applyFill="1" applyBorder="1" applyAlignment="1">
      <alignment horizontal="center" vertical="center"/>
    </xf>
    <xf numFmtId="2" fontId="65" fillId="12" borderId="16" xfId="0" applyNumberFormat="1" applyFont="1" applyFill="1" applyBorder="1" applyAlignment="1">
      <alignment horizontal="center" vertical="center"/>
    </xf>
    <xf numFmtId="2" fontId="65" fillId="12" borderId="23" xfId="0" applyNumberFormat="1" applyFont="1" applyFill="1" applyBorder="1" applyAlignment="1">
      <alignment horizontal="center" vertical="center"/>
    </xf>
    <xf numFmtId="2" fontId="65" fillId="12" borderId="17" xfId="0" applyNumberFormat="1" applyFont="1" applyFill="1" applyBorder="1" applyAlignment="1">
      <alignment horizontal="center" vertical="center"/>
    </xf>
    <xf numFmtId="0" fontId="65" fillId="0" borderId="21" xfId="0" applyNumberFormat="1" applyFont="1" applyBorder="1" applyAlignment="1">
      <alignment horizontal="center" vertical="center"/>
    </xf>
    <xf numFmtId="0" fontId="65" fillId="0" borderId="23" xfId="0" applyNumberFormat="1" applyFont="1" applyBorder="1" applyAlignment="1">
      <alignment horizontal="center" vertical="center"/>
    </xf>
    <xf numFmtId="1" fontId="65" fillId="0" borderId="22" xfId="0" applyNumberFormat="1" applyFont="1" applyBorder="1" applyAlignment="1">
      <alignment horizontal="center" vertical="center"/>
    </xf>
    <xf numFmtId="1" fontId="65" fillId="0" borderId="20" xfId="0" applyNumberFormat="1" applyFont="1" applyBorder="1" applyAlignment="1">
      <alignment horizontal="center" vertical="center"/>
    </xf>
    <xf numFmtId="0" fontId="103" fillId="6" borderId="14" xfId="0" applyFont="1" applyFill="1" applyBorder="1" applyAlignment="1">
      <alignment horizontal="center" vertical="center" wrapText="1"/>
    </xf>
    <xf numFmtId="0" fontId="103" fillId="6" borderId="11" xfId="0" applyFont="1" applyFill="1" applyBorder="1" applyAlignment="1">
      <alignment horizontal="center" vertical="center" wrapText="1"/>
    </xf>
    <xf numFmtId="0" fontId="16" fillId="0" borderId="0" xfId="0" applyFont="1" applyAlignment="1">
      <alignment horizontal="center"/>
    </xf>
    <xf numFmtId="14" fontId="16" fillId="0" borderId="0" xfId="0" applyNumberFormat="1" applyFont="1" applyAlignment="1">
      <alignment horizontal="left"/>
    </xf>
    <xf numFmtId="17" fontId="26" fillId="0" borderId="0" xfId="0" applyNumberFormat="1" applyFont="1" applyBorder="1" applyAlignment="1">
      <alignment horizontal="center" vertical="center"/>
    </xf>
    <xf numFmtId="0" fontId="26" fillId="0" borderId="0" xfId="0" applyFont="1" applyBorder="1" applyAlignment="1">
      <alignment horizontal="center" vertical="center"/>
    </xf>
    <xf numFmtId="17" fontId="24" fillId="0" borderId="0" xfId="0" applyNumberFormat="1" applyFont="1" applyBorder="1" applyAlignment="1">
      <alignment horizontal="center" vertical="center"/>
    </xf>
    <xf numFmtId="0" fontId="24" fillId="0" borderId="0" xfId="0" applyFont="1" applyBorder="1" applyAlignment="1">
      <alignment horizontal="center" vertical="center"/>
    </xf>
    <xf numFmtId="2" fontId="65" fillId="12" borderId="19" xfId="0" applyNumberFormat="1" applyFont="1" applyFill="1" applyBorder="1" applyAlignment="1">
      <alignment horizontal="center" vertical="center"/>
    </xf>
    <xf numFmtId="2" fontId="65" fillId="12" borderId="24" xfId="0" applyNumberFormat="1" applyFont="1" applyFill="1" applyBorder="1" applyAlignment="1">
      <alignment horizontal="center" vertical="center"/>
    </xf>
    <xf numFmtId="2" fontId="65" fillId="12" borderId="20" xfId="0" applyNumberFormat="1" applyFont="1" applyFill="1" applyBorder="1" applyAlignment="1">
      <alignment horizontal="center" vertical="center"/>
    </xf>
    <xf numFmtId="0" fontId="65" fillId="0" borderId="22" xfId="0" applyNumberFormat="1" applyFont="1" applyBorder="1" applyAlignment="1">
      <alignment horizontal="center" vertical="center"/>
    </xf>
    <xf numFmtId="0" fontId="65" fillId="0" borderId="24" xfId="0" applyNumberFormat="1" applyFont="1" applyBorder="1" applyAlignment="1">
      <alignment horizontal="center" vertical="center"/>
    </xf>
    <xf numFmtId="0" fontId="24" fillId="0" borderId="0" xfId="0" applyFont="1" applyBorder="1" applyAlignment="1">
      <alignment horizontal="right" vertical="center"/>
    </xf>
  </cellXfs>
  <cellStyles count="2">
    <cellStyle name="Comma" xfId="1" builtinId="3"/>
    <cellStyle name="Normal" xfId="0" builtinId="0"/>
  </cellStyles>
  <dxfs count="11">
    <dxf>
      <fill>
        <patternFill patternType="solid">
          <bgColor rgb="FFDCE5F1"/>
        </patternFill>
      </fill>
    </dxf>
    <dxf>
      <fill>
        <patternFill patternType="solid">
          <bgColor rgb="FFC6D9F0"/>
        </patternFill>
      </fill>
    </dxf>
    <dxf>
      <fill>
        <patternFill patternType="solid">
          <bgColor rgb="FFEEECE1"/>
        </patternFill>
      </fill>
    </dxf>
    <dxf>
      <fill>
        <patternFill patternType="solid">
          <bgColor rgb="FFF2F2F2"/>
        </patternFill>
      </fill>
    </dxf>
    <dxf>
      <fill>
        <patternFill patternType="solid">
          <bgColor rgb="FFBFBFBF"/>
        </patternFill>
      </fill>
    </dxf>
    <dxf>
      <fill>
        <patternFill patternType="solid">
          <bgColor rgb="FFD8D8D8"/>
        </patternFill>
      </fill>
    </dxf>
    <dxf>
      <fill>
        <patternFill patternType="solid">
          <bgColor rgb="FFEAF1DD"/>
        </patternFill>
      </fill>
    </dxf>
    <dxf>
      <fill>
        <patternFill patternType="solid">
          <bgColor rgb="FFD8D8D8"/>
        </patternFill>
      </fill>
    </dxf>
    <dxf>
      <fill>
        <patternFill patternType="solid">
          <bgColor rgb="FFF2F2F2"/>
        </patternFill>
      </fill>
    </dxf>
    <dxf>
      <fill>
        <patternFill patternType="solid">
          <bgColor rgb="FFF2DCDB"/>
        </patternFill>
      </fill>
    </dxf>
    <dxf>
      <fill>
        <patternFill patternType="solid">
          <bgColor rgb="FFDCE5F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 /><Relationship Id="rId2" Type="http://schemas.openxmlformats.org/officeDocument/2006/relationships/worksheet" Target="worksheets/sheet2.xml" /><Relationship Id="rId1" Type="http://schemas.openxmlformats.org/officeDocument/2006/relationships/worksheet" Target="worksheets/sheet1.xml" /><Relationship Id="rId6" Type="http://schemas.openxmlformats.org/officeDocument/2006/relationships/calcChain" Target="calcChain.xml" /><Relationship Id="rId5" Type="http://schemas.openxmlformats.org/officeDocument/2006/relationships/sharedStrings" Target="sharedStrings.xml" /><Relationship Id="rId4" Type="http://schemas.openxmlformats.org/officeDocument/2006/relationships/styles" Target="styles.xml" 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 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 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189"/>
  <sheetViews>
    <sheetView tabSelected="1" zoomScaleNormal="100" zoomScaleSheetLayoutView="40" workbookViewId="0">
      <selection activeCell="B52" sqref="A52:XFD52"/>
    </sheetView>
  </sheetViews>
  <sheetFormatPr defaultColWidth="9.03515625" defaultRowHeight="14.25" x14ac:dyDescent="0.2"/>
  <cols>
    <col min="1" max="1" width="1.6171875" hidden="1" customWidth="1"/>
    <col min="2" max="2" width="7.28125" customWidth="1"/>
    <col min="3" max="3" width="29.66796875" style="1" customWidth="1"/>
    <col min="4" max="4" width="14.83203125" style="1" customWidth="1"/>
    <col min="5" max="5" width="14.29296875" customWidth="1"/>
    <col min="6" max="6" width="17.52734375" customWidth="1"/>
    <col min="7" max="7" width="16.5859375" customWidth="1"/>
    <col min="8" max="8" width="14.83203125" customWidth="1"/>
    <col min="9" max="9" width="4.98828125" customWidth="1"/>
    <col min="10" max="10" width="12.5390625" style="2" customWidth="1"/>
    <col min="11" max="11" width="24.67578125" style="2" customWidth="1"/>
    <col min="12" max="12" width="16.85546875" style="2" customWidth="1"/>
    <col min="13" max="13" width="16.44921875" style="2" customWidth="1"/>
    <col min="14" max="14" width="16.31640625" customWidth="1"/>
    <col min="15" max="15" width="16.85546875" customWidth="1"/>
    <col min="16" max="16" width="19.95703125" customWidth="1"/>
    <col min="17" max="17" width="14.6953125" customWidth="1"/>
    <col min="18" max="18" width="10.515625" customWidth="1"/>
    <col min="19" max="19" width="10.24609375" customWidth="1"/>
    <col min="21" max="21" width="16.98828125" customWidth="1"/>
    <col min="22" max="22" width="15.1015625" customWidth="1"/>
    <col min="23" max="23" width="15.5078125" customWidth="1"/>
  </cols>
  <sheetData>
    <row r="1" spans="1:23" ht="30" customHeight="1" x14ac:dyDescent="0.25">
      <c r="A1" s="3"/>
      <c r="B1" s="4"/>
      <c r="C1" s="358" t="s">
        <v>0</v>
      </c>
      <c r="D1" s="358"/>
      <c r="E1" s="358"/>
      <c r="F1" s="358"/>
      <c r="G1" s="358"/>
      <c r="H1" s="358"/>
      <c r="I1" s="358"/>
      <c r="J1" s="358"/>
      <c r="K1" s="66" t="s">
        <v>247</v>
      </c>
      <c r="L1" s="63"/>
      <c r="M1" s="63"/>
      <c r="N1" s="63"/>
      <c r="O1" s="63"/>
      <c r="P1" s="63"/>
      <c r="Q1" s="63"/>
    </row>
    <row r="2" spans="1:23" ht="15.6" customHeight="1" thickBot="1" x14ac:dyDescent="0.3">
      <c r="A2" s="3"/>
      <c r="B2" s="4"/>
      <c r="C2" s="4"/>
      <c r="D2" s="4"/>
      <c r="E2" s="5"/>
      <c r="F2" s="4"/>
      <c r="G2" s="4"/>
      <c r="H2" s="4"/>
      <c r="I2" s="4"/>
      <c r="J2" s="6"/>
      <c r="K2" s="6"/>
      <c r="L2" s="6"/>
      <c r="M2" s="6"/>
      <c r="N2" s="7"/>
      <c r="O2" s="7"/>
    </row>
    <row r="3" spans="1:23" ht="26.25" customHeight="1" x14ac:dyDescent="0.25">
      <c r="A3" s="3"/>
      <c r="B3" s="4"/>
      <c r="C3" s="360" t="s">
        <v>91</v>
      </c>
      <c r="D3" s="361"/>
      <c r="E3" s="361"/>
      <c r="F3" s="88" t="s">
        <v>1</v>
      </c>
      <c r="G3" s="88" t="s">
        <v>2</v>
      </c>
      <c r="H3" s="89" t="s">
        <v>3</v>
      </c>
      <c r="I3" s="58" t="s">
        <v>100</v>
      </c>
      <c r="J3" s="359" t="s">
        <v>101</v>
      </c>
      <c r="K3" s="359"/>
      <c r="L3" s="359"/>
      <c r="M3" s="359"/>
      <c r="N3" s="359"/>
      <c r="O3" s="359"/>
      <c r="P3" s="359"/>
    </row>
    <row r="4" spans="1:23" ht="48" customHeight="1" x14ac:dyDescent="0.25">
      <c r="A4" s="3"/>
      <c r="B4" s="442"/>
      <c r="C4" s="362" t="s">
        <v>4</v>
      </c>
      <c r="D4" s="363"/>
      <c r="E4" s="363"/>
      <c r="F4" s="90">
        <v>93</v>
      </c>
      <c r="G4" s="90">
        <v>77</v>
      </c>
      <c r="H4" s="91"/>
      <c r="I4" s="4"/>
      <c r="J4" s="370" t="s">
        <v>93</v>
      </c>
      <c r="K4" s="370"/>
      <c r="L4" s="279" t="s">
        <v>168</v>
      </c>
      <c r="M4" s="279" t="s">
        <v>189</v>
      </c>
      <c r="N4" s="279" t="s">
        <v>167</v>
      </c>
      <c r="O4" s="279" t="s">
        <v>168</v>
      </c>
      <c r="P4" s="279" t="s">
        <v>182</v>
      </c>
      <c r="Q4" s="312"/>
      <c r="R4" s="44"/>
      <c r="S4" s="44"/>
    </row>
    <row r="5" spans="1:23" ht="42.6" customHeight="1" x14ac:dyDescent="0.25">
      <c r="A5" s="3"/>
      <c r="B5" s="442"/>
      <c r="C5" s="375" t="s">
        <v>6</v>
      </c>
      <c r="D5" s="376"/>
      <c r="E5" s="376"/>
      <c r="F5" s="90">
        <v>284</v>
      </c>
      <c r="G5" s="90">
        <v>339</v>
      </c>
      <c r="H5" s="91" t="s">
        <v>7</v>
      </c>
      <c r="I5" s="4"/>
      <c r="J5" s="377" t="s">
        <v>56</v>
      </c>
      <c r="K5" s="377"/>
      <c r="L5" s="288" t="s">
        <v>176</v>
      </c>
      <c r="M5" s="288" t="s">
        <v>190</v>
      </c>
      <c r="N5" s="288" t="s">
        <v>200</v>
      </c>
      <c r="O5" s="288" t="s">
        <v>202</v>
      </c>
      <c r="P5" s="288" t="s">
        <v>217</v>
      </c>
      <c r="Q5" s="313"/>
      <c r="R5" s="45"/>
      <c r="S5" s="45"/>
    </row>
    <row r="6" spans="1:23" ht="23.45" customHeight="1" x14ac:dyDescent="0.25">
      <c r="A6" s="3"/>
      <c r="B6" s="442"/>
      <c r="C6" s="362" t="s">
        <v>8</v>
      </c>
      <c r="D6" s="363"/>
      <c r="E6" s="363"/>
      <c r="F6" s="90">
        <v>347</v>
      </c>
      <c r="G6" s="92">
        <v>282</v>
      </c>
      <c r="H6" s="91" t="s">
        <v>7</v>
      </c>
      <c r="I6" s="4"/>
      <c r="J6" s="388" t="s">
        <v>9</v>
      </c>
      <c r="K6" s="388"/>
      <c r="L6" s="289" t="s">
        <v>177</v>
      </c>
      <c r="M6" s="289" t="s">
        <v>191</v>
      </c>
      <c r="N6" s="289" t="s">
        <v>199</v>
      </c>
      <c r="O6" s="289" t="s">
        <v>203</v>
      </c>
      <c r="P6" s="289" t="s">
        <v>218</v>
      </c>
      <c r="Q6" s="314"/>
      <c r="R6" s="46"/>
      <c r="S6" s="46"/>
    </row>
    <row r="7" spans="1:23" ht="22.9" customHeight="1" x14ac:dyDescent="0.25">
      <c r="A7" s="3"/>
      <c r="B7" s="442"/>
      <c r="C7" s="362" t="s">
        <v>10</v>
      </c>
      <c r="D7" s="363"/>
      <c r="E7" s="363"/>
      <c r="F7" s="161">
        <f>F4+F5-F6</f>
        <v>30</v>
      </c>
      <c r="G7" s="161">
        <f>G4+G5-G6</f>
        <v>134</v>
      </c>
      <c r="H7" s="93" t="s">
        <v>7</v>
      </c>
      <c r="I7" s="8"/>
      <c r="J7" s="387" t="s">
        <v>57</v>
      </c>
      <c r="K7" s="387"/>
      <c r="L7" s="290">
        <v>999.91</v>
      </c>
      <c r="M7" s="290">
        <v>4638.58</v>
      </c>
      <c r="N7" s="290">
        <v>3261.52</v>
      </c>
      <c r="O7" s="290">
        <v>3271.3</v>
      </c>
      <c r="P7" s="290">
        <v>4610.26</v>
      </c>
      <c r="Q7" s="315"/>
      <c r="R7" s="47"/>
      <c r="S7" s="47"/>
    </row>
    <row r="8" spans="1:23" ht="26.25" customHeight="1" thickBot="1" x14ac:dyDescent="0.3">
      <c r="A8" s="3"/>
      <c r="B8" s="4"/>
      <c r="C8" s="373" t="s">
        <v>116</v>
      </c>
      <c r="D8" s="374"/>
      <c r="E8" s="374"/>
      <c r="F8" s="102">
        <v>0</v>
      </c>
      <c r="G8" s="102">
        <v>20</v>
      </c>
      <c r="H8" s="94"/>
      <c r="I8" s="9"/>
      <c r="J8" s="388" t="s">
        <v>59</v>
      </c>
      <c r="K8" s="388"/>
      <c r="L8" s="290">
        <v>50000</v>
      </c>
      <c r="M8" s="290">
        <v>36273.440000000002</v>
      </c>
      <c r="N8" s="290">
        <v>19113.580000000002</v>
      </c>
      <c r="O8" s="290">
        <v>8284.91</v>
      </c>
      <c r="P8" s="290">
        <v>11801.52</v>
      </c>
      <c r="Q8" s="315"/>
      <c r="R8" s="47"/>
      <c r="S8" s="47"/>
    </row>
    <row r="9" spans="1:23" ht="27" customHeight="1" thickBot="1" x14ac:dyDescent="0.3">
      <c r="A9" s="3"/>
      <c r="B9" s="4"/>
      <c r="C9" s="10"/>
      <c r="D9" s="10"/>
      <c r="E9" s="4"/>
      <c r="I9" s="11"/>
      <c r="J9" s="388" t="s">
        <v>58</v>
      </c>
      <c r="K9" s="388"/>
      <c r="L9" s="291">
        <f>50000-L8</f>
        <v>0</v>
      </c>
      <c r="M9" s="291">
        <f>49922-M8</f>
        <v>13648.559999999998</v>
      </c>
      <c r="N9" s="291">
        <f>50000-N8</f>
        <v>30886.42</v>
      </c>
      <c r="O9" s="291">
        <f>50000-O8</f>
        <v>41715.089999999997</v>
      </c>
      <c r="P9" s="291">
        <f>50000-P8</f>
        <v>38198.479999999996</v>
      </c>
      <c r="Q9" s="316"/>
      <c r="R9" s="48"/>
      <c r="S9" s="48"/>
    </row>
    <row r="10" spans="1:23" ht="20.100000000000001" customHeight="1" x14ac:dyDescent="0.25">
      <c r="A10" s="3"/>
      <c r="B10" s="442"/>
      <c r="C10" s="364" t="s">
        <v>92</v>
      </c>
      <c r="D10" s="365"/>
      <c r="E10" s="366"/>
      <c r="F10" s="88" t="s">
        <v>1</v>
      </c>
      <c r="G10" s="88" t="s">
        <v>2</v>
      </c>
      <c r="H10" s="89" t="s">
        <v>3</v>
      </c>
      <c r="I10" s="12"/>
      <c r="J10" s="379" t="s">
        <v>144</v>
      </c>
      <c r="K10" s="380"/>
      <c r="L10" s="371">
        <v>15700</v>
      </c>
      <c r="M10" s="372"/>
      <c r="N10" s="103"/>
      <c r="O10" s="103"/>
      <c r="P10" s="103"/>
      <c r="Q10" s="103"/>
      <c r="R10" s="103"/>
      <c r="S10" s="103"/>
    </row>
    <row r="11" spans="1:23" ht="23.45" customHeight="1" thickBot="1" x14ac:dyDescent="0.3">
      <c r="A11" s="3"/>
      <c r="B11" s="442"/>
      <c r="C11" s="367" t="s">
        <v>4</v>
      </c>
      <c r="D11" s="368"/>
      <c r="E11" s="369"/>
      <c r="F11" s="68">
        <v>105384</v>
      </c>
      <c r="G11" s="68">
        <v>76000</v>
      </c>
      <c r="H11" s="71">
        <v>170224.48</v>
      </c>
      <c r="I11" s="12"/>
      <c r="J11" s="381" t="s">
        <v>60</v>
      </c>
      <c r="K11" s="382"/>
      <c r="L11" s="392">
        <v>13600</v>
      </c>
      <c r="M11" s="393"/>
      <c r="N11" s="103"/>
      <c r="O11" s="85"/>
      <c r="P11" s="378"/>
      <c r="Q11" s="378"/>
      <c r="R11" s="378"/>
      <c r="S11" s="106"/>
    </row>
    <row r="12" spans="1:23" ht="23.25" thickBot="1" x14ac:dyDescent="0.3">
      <c r="A12" s="3"/>
      <c r="B12" s="442"/>
      <c r="C12" s="375" t="s">
        <v>6</v>
      </c>
      <c r="D12" s="376"/>
      <c r="E12" s="376"/>
      <c r="F12" s="68">
        <f>11169+10878+5590-3759</f>
        <v>23878</v>
      </c>
      <c r="G12" s="68">
        <v>18865</v>
      </c>
      <c r="H12" s="71">
        <v>22980.400000000001</v>
      </c>
      <c r="I12" s="12"/>
      <c r="N12" s="104"/>
      <c r="O12" s="85"/>
      <c r="T12" s="325" t="s">
        <v>196</v>
      </c>
      <c r="U12" s="386"/>
      <c r="V12" s="300" t="s">
        <v>49</v>
      </c>
      <c r="W12" s="300" t="s">
        <v>2</v>
      </c>
    </row>
    <row r="13" spans="1:23" ht="37.15" customHeight="1" thickBot="1" x14ac:dyDescent="0.3">
      <c r="A13" s="3"/>
      <c r="B13" s="442"/>
      <c r="C13" s="367" t="s">
        <v>11</v>
      </c>
      <c r="D13" s="368"/>
      <c r="E13" s="369"/>
      <c r="F13" s="68">
        <f>21446+11230+4475</f>
        <v>37151</v>
      </c>
      <c r="G13" s="68">
        <v>20033</v>
      </c>
      <c r="H13" s="71">
        <v>25355</v>
      </c>
      <c r="I13" s="12"/>
      <c r="J13" s="364" t="s">
        <v>183</v>
      </c>
      <c r="K13" s="365"/>
      <c r="L13" s="365"/>
      <c r="M13" s="366"/>
      <c r="N13" s="142" t="s">
        <v>95</v>
      </c>
      <c r="O13" s="105"/>
      <c r="T13" s="325" t="s">
        <v>197</v>
      </c>
      <c r="U13" s="325"/>
      <c r="V13" s="295">
        <f>N19+N20</f>
        <v>96700</v>
      </c>
      <c r="W13" s="296">
        <f>N15+N16+N17</f>
        <v>167412</v>
      </c>
    </row>
    <row r="14" spans="1:23" s="13" customFormat="1" ht="24.6" customHeight="1" thickBot="1" x14ac:dyDescent="0.3">
      <c r="A14" s="14"/>
      <c r="B14" s="443"/>
      <c r="C14" s="417" t="s">
        <v>12</v>
      </c>
      <c r="D14" s="418"/>
      <c r="E14" s="419"/>
      <c r="F14" s="72">
        <f>F11+F12-F13</f>
        <v>92111</v>
      </c>
      <c r="G14" s="72">
        <f t="shared" ref="G14" si="0">G11+G12-G13</f>
        <v>74832</v>
      </c>
      <c r="H14" s="73">
        <f>H11+H12-H13</f>
        <v>167849.88</v>
      </c>
      <c r="I14" s="15"/>
      <c r="J14" s="383" t="s">
        <v>2</v>
      </c>
      <c r="K14" s="384"/>
      <c r="L14" s="384"/>
      <c r="M14" s="385"/>
      <c r="N14" s="143"/>
      <c r="O14" s="16"/>
      <c r="P14" s="287"/>
      <c r="T14" s="356"/>
      <c r="U14" s="357"/>
      <c r="V14" s="298"/>
      <c r="W14" s="298"/>
    </row>
    <row r="15" spans="1:23" ht="20.100000000000001" customHeight="1" thickBot="1" x14ac:dyDescent="0.3">
      <c r="A15" s="3"/>
      <c r="B15" s="442"/>
      <c r="C15" s="389"/>
      <c r="D15" s="390"/>
      <c r="E15" s="391"/>
      <c r="F15" s="74"/>
      <c r="G15" s="75"/>
      <c r="H15" s="75"/>
      <c r="I15" s="17"/>
      <c r="J15" s="394" t="s">
        <v>137</v>
      </c>
      <c r="K15" s="395"/>
      <c r="L15" s="395"/>
      <c r="M15" s="396"/>
      <c r="N15" s="152">
        <v>102779</v>
      </c>
      <c r="O15" s="18"/>
      <c r="T15" s="325" t="s">
        <v>198</v>
      </c>
      <c r="U15" s="325"/>
      <c r="V15" s="294">
        <f>N31+N32</f>
        <v>48447</v>
      </c>
      <c r="W15" s="294">
        <f>N26+N27+N28</f>
        <v>78142</v>
      </c>
    </row>
    <row r="16" spans="1:23" ht="21" x14ac:dyDescent="0.25">
      <c r="A16" s="3"/>
      <c r="B16" s="442"/>
      <c r="C16" s="397" t="s">
        <v>118</v>
      </c>
      <c r="D16" s="398"/>
      <c r="E16" s="399"/>
      <c r="F16" s="88" t="s">
        <v>49</v>
      </c>
      <c r="G16" s="88" t="s">
        <v>2</v>
      </c>
      <c r="H16" s="89" t="s">
        <v>3</v>
      </c>
      <c r="I16" s="17"/>
      <c r="J16" s="400" t="s">
        <v>146</v>
      </c>
      <c r="K16" s="401"/>
      <c r="L16" s="401"/>
      <c r="M16" s="402"/>
      <c r="N16" s="153">
        <v>60361</v>
      </c>
      <c r="P16" s="64"/>
      <c r="Q16" s="64"/>
      <c r="R16" s="64"/>
      <c r="S16" s="64"/>
      <c r="T16" s="326"/>
      <c r="U16" s="327"/>
      <c r="V16" s="299"/>
      <c r="W16" s="299"/>
    </row>
    <row r="17" spans="1:23" ht="20.100000000000001" customHeight="1" x14ac:dyDescent="0.25">
      <c r="A17" s="3"/>
      <c r="B17" s="442"/>
      <c r="C17" s="367" t="s">
        <v>122</v>
      </c>
      <c r="D17" s="368"/>
      <c r="E17" s="369"/>
      <c r="F17" s="70">
        <f>51481+21994</f>
        <v>73475</v>
      </c>
      <c r="G17" s="68">
        <f>G14-G18-G19-G20</f>
        <v>62391</v>
      </c>
      <c r="H17" s="68">
        <v>60139.519999999997</v>
      </c>
      <c r="I17" s="17"/>
      <c r="J17" s="328" t="s">
        <v>147</v>
      </c>
      <c r="K17" s="329"/>
      <c r="L17" s="329"/>
      <c r="M17" s="330"/>
      <c r="N17" s="153">
        <v>4272</v>
      </c>
      <c r="P17" s="64"/>
      <c r="Q17" s="64"/>
      <c r="R17" s="64"/>
      <c r="S17" s="64"/>
      <c r="T17" s="321" t="s">
        <v>222</v>
      </c>
      <c r="U17" s="322"/>
      <c r="V17" s="293">
        <f>N41</f>
        <v>0</v>
      </c>
      <c r="W17" s="293">
        <f>SUM(N37:N39)</f>
        <v>38048</v>
      </c>
    </row>
    <row r="18" spans="1:23" ht="21" x14ac:dyDescent="0.25">
      <c r="A18" s="3"/>
      <c r="B18" s="442"/>
      <c r="C18" s="367" t="s">
        <v>119</v>
      </c>
      <c r="D18" s="368"/>
      <c r="E18" s="369"/>
      <c r="F18" s="70">
        <v>12576</v>
      </c>
      <c r="G18" s="68">
        <v>11913</v>
      </c>
      <c r="H18" s="68">
        <v>53600.78</v>
      </c>
      <c r="I18" s="17"/>
      <c r="J18" s="331" t="s">
        <v>94</v>
      </c>
      <c r="K18" s="332"/>
      <c r="L18" s="332"/>
      <c r="M18" s="333"/>
      <c r="N18" s="149"/>
      <c r="T18" s="323" t="s">
        <v>5</v>
      </c>
      <c r="U18" s="324"/>
      <c r="V18" s="304">
        <f>SUM(V13:V17)</f>
        <v>145147</v>
      </c>
      <c r="W18" s="304">
        <f>SUM(W13:W17)</f>
        <v>283602</v>
      </c>
    </row>
    <row r="19" spans="1:23" ht="20.100000000000001" customHeight="1" x14ac:dyDescent="0.25">
      <c r="A19" s="3"/>
      <c r="B19" s="442"/>
      <c r="C19" s="367" t="s">
        <v>120</v>
      </c>
      <c r="D19" s="368"/>
      <c r="E19" s="369"/>
      <c r="F19" s="70">
        <v>6060</v>
      </c>
      <c r="G19" s="68">
        <v>0</v>
      </c>
      <c r="H19" s="68">
        <v>54109.58</v>
      </c>
      <c r="I19" s="19"/>
      <c r="J19" s="328" t="s">
        <v>148</v>
      </c>
      <c r="K19" s="329"/>
      <c r="L19" s="329"/>
      <c r="M19" s="330"/>
      <c r="N19" s="149">
        <v>35740</v>
      </c>
    </row>
    <row r="20" spans="1:23" ht="25.5" customHeight="1" x14ac:dyDescent="0.25">
      <c r="A20" s="3"/>
      <c r="B20" s="442"/>
      <c r="C20" s="367" t="s">
        <v>155</v>
      </c>
      <c r="D20" s="368"/>
      <c r="E20" s="369"/>
      <c r="F20" s="70">
        <v>0</v>
      </c>
      <c r="G20" s="68">
        <v>528</v>
      </c>
      <c r="H20" s="68"/>
      <c r="I20" s="19"/>
      <c r="J20" s="328" t="s">
        <v>161</v>
      </c>
      <c r="K20" s="329"/>
      <c r="L20" s="329"/>
      <c r="M20" s="330"/>
      <c r="N20" s="149">
        <v>60960</v>
      </c>
      <c r="S20" s="320" t="s">
        <v>228</v>
      </c>
      <c r="T20" s="320"/>
      <c r="U20" s="320"/>
      <c r="V20" s="307">
        <f>V18+W18</f>
        <v>428749</v>
      </c>
    </row>
    <row r="21" spans="1:23" ht="20.100000000000001" customHeight="1" x14ac:dyDescent="0.25">
      <c r="A21" s="3"/>
      <c r="B21" s="442"/>
      <c r="C21" s="367" t="s">
        <v>121</v>
      </c>
      <c r="D21" s="368"/>
      <c r="E21" s="369"/>
      <c r="F21" s="70" t="s">
        <v>117</v>
      </c>
      <c r="G21" s="96"/>
      <c r="H21" s="68">
        <v>0</v>
      </c>
      <c r="I21" s="19"/>
      <c r="J21" s="328"/>
      <c r="K21" s="329"/>
      <c r="L21" s="329"/>
      <c r="M21" s="330"/>
      <c r="N21" s="149"/>
      <c r="P21" s="284"/>
    </row>
    <row r="22" spans="1:23" ht="23.45" customHeight="1" thickBot="1" x14ac:dyDescent="0.3">
      <c r="A22" s="3"/>
      <c r="B22" s="442"/>
      <c r="C22" s="406" t="s">
        <v>123</v>
      </c>
      <c r="D22" s="407"/>
      <c r="E22" s="408"/>
      <c r="F22" s="72">
        <f>SUM(F17:F21)</f>
        <v>92111</v>
      </c>
      <c r="G22" s="72">
        <f>SUM(G17:G21)</f>
        <v>74832</v>
      </c>
      <c r="H22" s="97">
        <f>SUM(H17:H21)</f>
        <v>167849.88</v>
      </c>
      <c r="I22" s="19"/>
      <c r="J22" s="426" t="s">
        <v>141</v>
      </c>
      <c r="K22" s="427"/>
      <c r="L22" s="427"/>
      <c r="M22" s="428"/>
      <c r="N22" s="154">
        <f>SUM(N15:N21)</f>
        <v>264112</v>
      </c>
      <c r="P22" s="284"/>
    </row>
    <row r="23" spans="1:23" ht="20.100000000000001" customHeight="1" thickBot="1" x14ac:dyDescent="0.3">
      <c r="A23" s="3"/>
      <c r="B23" s="442"/>
      <c r="C23" s="51"/>
      <c r="D23" s="52"/>
      <c r="E23" s="53"/>
      <c r="F23" s="54"/>
      <c r="G23" s="55"/>
      <c r="H23" s="56"/>
      <c r="I23" s="19"/>
      <c r="N23" s="145"/>
    </row>
    <row r="24" spans="1:23" ht="24" customHeight="1" x14ac:dyDescent="0.25">
      <c r="A24" s="3"/>
      <c r="B24" s="442"/>
      <c r="C24" s="397" t="s">
        <v>124</v>
      </c>
      <c r="D24" s="398"/>
      <c r="E24" s="399"/>
      <c r="F24" s="88" t="s">
        <v>1</v>
      </c>
      <c r="G24" s="88" t="s">
        <v>2</v>
      </c>
      <c r="H24" s="89" t="s">
        <v>3</v>
      </c>
      <c r="I24" s="7"/>
      <c r="J24" s="434" t="s">
        <v>143</v>
      </c>
      <c r="K24" s="435"/>
      <c r="L24" s="435"/>
      <c r="M24" s="436"/>
      <c r="N24" s="146" t="s">
        <v>96</v>
      </c>
      <c r="O24" s="429"/>
      <c r="P24" s="430"/>
      <c r="Q24" s="57"/>
      <c r="R24" s="65"/>
      <c r="S24" s="65"/>
    </row>
    <row r="25" spans="1:23" ht="24" customHeight="1" x14ac:dyDescent="0.25">
      <c r="A25" s="3"/>
      <c r="B25" s="20"/>
      <c r="C25" s="367" t="s">
        <v>129</v>
      </c>
      <c r="D25" s="368"/>
      <c r="E25" s="369"/>
      <c r="F25" s="70">
        <f>F13-F26-F28-F29</f>
        <v>21446</v>
      </c>
      <c r="G25" s="69"/>
      <c r="H25" s="120">
        <v>6006</v>
      </c>
      <c r="I25" s="7"/>
      <c r="J25" s="383" t="s">
        <v>2</v>
      </c>
      <c r="K25" s="384"/>
      <c r="L25" s="384"/>
      <c r="M25" s="385"/>
      <c r="N25" s="144"/>
      <c r="O25" s="57"/>
      <c r="P25" s="57"/>
      <c r="Q25" s="57"/>
      <c r="R25" s="65"/>
      <c r="S25" s="65"/>
    </row>
    <row r="26" spans="1:23" ht="24" customHeight="1" x14ac:dyDescent="0.25">
      <c r="A26" s="3"/>
      <c r="B26" s="20"/>
      <c r="C26" s="367" t="s">
        <v>125</v>
      </c>
      <c r="D26" s="368"/>
      <c r="E26" s="369"/>
      <c r="F26" s="70">
        <v>11230</v>
      </c>
      <c r="G26" s="98"/>
      <c r="H26" s="120">
        <f>4460+4262+0</f>
        <v>8722</v>
      </c>
      <c r="I26" s="7"/>
      <c r="J26" s="431" t="s">
        <v>223</v>
      </c>
      <c r="K26" s="432"/>
      <c r="L26" s="432"/>
      <c r="M26" s="433"/>
      <c r="N26" s="149">
        <v>2546</v>
      </c>
      <c r="P26" s="57"/>
      <c r="Q26" s="57"/>
      <c r="R26" s="65"/>
      <c r="S26" s="65"/>
    </row>
    <row r="27" spans="1:23" ht="24" customHeight="1" x14ac:dyDescent="0.25">
      <c r="A27" s="3"/>
      <c r="B27" s="176"/>
      <c r="C27" s="173"/>
      <c r="D27" s="174"/>
      <c r="E27" s="175"/>
      <c r="F27" s="70"/>
      <c r="G27" s="178"/>
      <c r="H27" s="120"/>
      <c r="I27" s="7"/>
      <c r="J27" s="431" t="s">
        <v>224</v>
      </c>
      <c r="K27" s="432"/>
      <c r="L27" s="432"/>
      <c r="M27" s="433"/>
      <c r="N27" s="149">
        <v>29272</v>
      </c>
      <c r="P27" s="177"/>
      <c r="Q27" s="177"/>
      <c r="R27" s="65"/>
      <c r="S27" s="65"/>
    </row>
    <row r="28" spans="1:23" ht="24" customHeight="1" x14ac:dyDescent="0.25">
      <c r="A28" s="3"/>
      <c r="B28" s="20"/>
      <c r="C28" s="367" t="s">
        <v>126</v>
      </c>
      <c r="D28" s="368"/>
      <c r="E28" s="369"/>
      <c r="F28" s="70">
        <v>4475</v>
      </c>
      <c r="G28" s="99"/>
      <c r="H28" s="68">
        <f>3385+3668+3574</f>
        <v>10627</v>
      </c>
      <c r="I28" s="7"/>
      <c r="J28" s="431" t="s">
        <v>225</v>
      </c>
      <c r="K28" s="432"/>
      <c r="L28" s="432"/>
      <c r="M28" s="433"/>
      <c r="N28" s="149">
        <v>46324</v>
      </c>
      <c r="P28" s="57"/>
      <c r="Q28" s="57"/>
      <c r="R28" s="65"/>
      <c r="S28" s="65"/>
    </row>
    <row r="29" spans="1:23" ht="37.5" customHeight="1" x14ac:dyDescent="0.25">
      <c r="A29" s="3"/>
      <c r="B29" s="20"/>
      <c r="C29" s="367" t="s">
        <v>127</v>
      </c>
      <c r="D29" s="368"/>
      <c r="E29" s="369"/>
      <c r="F29" s="70">
        <v>0</v>
      </c>
      <c r="G29" s="100"/>
      <c r="H29" s="121">
        <v>0</v>
      </c>
      <c r="I29" s="7"/>
      <c r="J29" s="431"/>
      <c r="K29" s="432"/>
      <c r="L29" s="432"/>
      <c r="M29" s="433"/>
      <c r="N29" s="149"/>
      <c r="P29" s="57"/>
      <c r="Q29" s="57"/>
      <c r="R29" s="65"/>
      <c r="S29" s="65"/>
    </row>
    <row r="30" spans="1:23" ht="23.25" customHeight="1" x14ac:dyDescent="0.25">
      <c r="A30" s="3"/>
      <c r="B30" s="20"/>
      <c r="C30" s="367" t="s">
        <v>128</v>
      </c>
      <c r="D30" s="368"/>
      <c r="E30" s="369"/>
      <c r="F30" s="70"/>
      <c r="G30" s="101"/>
      <c r="H30" s="122">
        <v>0</v>
      </c>
      <c r="I30" s="7"/>
      <c r="J30" s="331" t="s">
        <v>94</v>
      </c>
      <c r="K30" s="332"/>
      <c r="L30" s="332"/>
      <c r="M30" s="333"/>
      <c r="N30" s="150"/>
      <c r="P30" s="57"/>
      <c r="Q30" s="57"/>
      <c r="R30" s="65"/>
      <c r="S30" s="65"/>
    </row>
    <row r="31" spans="1:23" ht="23.25" customHeight="1" thickBot="1" x14ac:dyDescent="0.3">
      <c r="A31" s="3"/>
      <c r="B31" s="20"/>
      <c r="C31" s="367" t="s">
        <v>130</v>
      </c>
      <c r="D31" s="368"/>
      <c r="E31" s="369"/>
      <c r="F31" s="70"/>
      <c r="G31" s="98"/>
      <c r="H31" s="120">
        <v>0</v>
      </c>
      <c r="I31" s="7"/>
      <c r="J31" s="409" t="s">
        <v>226</v>
      </c>
      <c r="K31" s="410"/>
      <c r="L31" s="410"/>
      <c r="M31" s="411"/>
      <c r="N31" s="149">
        <f>46433+500</f>
        <v>46933</v>
      </c>
      <c r="P31" s="57"/>
      <c r="Q31" s="57"/>
      <c r="R31" s="65"/>
      <c r="S31" s="65"/>
    </row>
    <row r="32" spans="1:23" ht="19.5" customHeight="1" thickBot="1" x14ac:dyDescent="0.3">
      <c r="A32" s="3"/>
      <c r="B32" s="20"/>
      <c r="C32" s="406" t="s">
        <v>131</v>
      </c>
      <c r="D32" s="407"/>
      <c r="E32" s="408"/>
      <c r="F32" s="70">
        <f>SUM(F25:F31)</f>
        <v>37151</v>
      </c>
      <c r="G32" s="69">
        <f>G13</f>
        <v>20033</v>
      </c>
      <c r="H32" s="122">
        <f>SUM(H25:H31)-H31</f>
        <v>25355</v>
      </c>
      <c r="I32" s="7"/>
      <c r="J32" s="409" t="s">
        <v>227</v>
      </c>
      <c r="K32" s="410"/>
      <c r="L32" s="410"/>
      <c r="M32" s="411"/>
      <c r="N32" s="149">
        <v>1514</v>
      </c>
      <c r="P32" s="60"/>
      <c r="Q32" s="60"/>
      <c r="R32" s="65"/>
      <c r="S32" s="65"/>
    </row>
    <row r="33" spans="1:19" ht="8.25" customHeight="1" thickBot="1" x14ac:dyDescent="0.3">
      <c r="A33" s="3"/>
      <c r="B33" s="20"/>
      <c r="I33" s="7"/>
      <c r="J33" s="409"/>
      <c r="K33" s="410"/>
      <c r="L33" s="410"/>
      <c r="M33" s="411"/>
      <c r="N33" s="151"/>
      <c r="O33" s="60"/>
      <c r="P33" s="60"/>
      <c r="Q33" s="60"/>
      <c r="R33" s="60"/>
      <c r="S33" s="60"/>
    </row>
    <row r="34" spans="1:19" ht="19.5" customHeight="1" thickBot="1" x14ac:dyDescent="0.3">
      <c r="A34" s="3"/>
      <c r="B34" s="20"/>
      <c r="C34" s="403" t="s">
        <v>103</v>
      </c>
      <c r="D34" s="404"/>
      <c r="E34" s="405"/>
      <c r="F34" s="76" t="str">
        <f>K1</f>
        <v>20.09.2026</v>
      </c>
      <c r="G34" s="77" t="s">
        <v>107</v>
      </c>
      <c r="H34" s="78" t="s">
        <v>250</v>
      </c>
      <c r="I34" s="7"/>
      <c r="J34" s="412" t="s">
        <v>140</v>
      </c>
      <c r="K34" s="413"/>
      <c r="L34" s="413"/>
      <c r="M34" s="414"/>
      <c r="N34" s="160">
        <f>SUM(N26:N33)</f>
        <v>126589</v>
      </c>
      <c r="O34" s="62"/>
      <c r="R34" s="60"/>
      <c r="S34" s="60"/>
    </row>
    <row r="35" spans="1:19" ht="27" customHeight="1" thickBot="1" x14ac:dyDescent="0.55000000000000004">
      <c r="A35" s="3"/>
      <c r="B35" s="20"/>
      <c r="C35" s="123" t="s">
        <v>106</v>
      </c>
      <c r="D35" s="127" t="s">
        <v>94</v>
      </c>
      <c r="E35" s="127" t="s">
        <v>2</v>
      </c>
      <c r="F35" s="127" t="s">
        <v>19</v>
      </c>
      <c r="G35" s="131" t="s">
        <v>94</v>
      </c>
      <c r="H35" s="132" t="s">
        <v>2</v>
      </c>
      <c r="I35" s="7"/>
      <c r="K35" s="265"/>
      <c r="Q35" s="61"/>
      <c r="R35" s="60"/>
      <c r="S35" s="60"/>
    </row>
    <row r="36" spans="1:19" ht="42" customHeight="1" x14ac:dyDescent="0.25">
      <c r="A36" s="3"/>
      <c r="B36" s="20"/>
      <c r="C36" s="124" t="s">
        <v>20</v>
      </c>
      <c r="D36" s="128">
        <v>0</v>
      </c>
      <c r="E36" s="128">
        <v>0</v>
      </c>
      <c r="F36" s="128">
        <f>D36+E36</f>
        <v>0</v>
      </c>
      <c r="G36" s="133">
        <v>0</v>
      </c>
      <c r="H36" s="133">
        <v>0</v>
      </c>
      <c r="I36" s="7"/>
      <c r="J36" s="445" t="s">
        <v>156</v>
      </c>
      <c r="K36" s="446"/>
      <c r="L36" s="447"/>
      <c r="M36" s="111" t="s">
        <v>115</v>
      </c>
      <c r="N36" s="112" t="s">
        <v>97</v>
      </c>
      <c r="O36" s="113" t="s">
        <v>157</v>
      </c>
      <c r="P36" s="162" t="s">
        <v>138</v>
      </c>
      <c r="Q36" s="335" t="s">
        <v>149</v>
      </c>
      <c r="R36" s="336"/>
      <c r="S36" s="60"/>
    </row>
    <row r="37" spans="1:19" ht="36.75" customHeight="1" x14ac:dyDescent="0.25">
      <c r="A37" s="3"/>
      <c r="B37" s="20"/>
      <c r="C37" s="124" t="s">
        <v>104</v>
      </c>
      <c r="D37" s="128">
        <v>0</v>
      </c>
      <c r="E37" s="128">
        <v>0</v>
      </c>
      <c r="F37" s="128"/>
      <c r="G37" s="133"/>
      <c r="H37" s="133"/>
      <c r="I37" s="7"/>
      <c r="J37" s="351" t="s">
        <v>229</v>
      </c>
      <c r="K37" s="352"/>
      <c r="L37" s="353"/>
      <c r="M37" s="148">
        <v>75204</v>
      </c>
      <c r="N37" s="148">
        <v>23490</v>
      </c>
      <c r="O37" s="261" t="s">
        <v>207</v>
      </c>
      <c r="P37" s="252" t="s">
        <v>240</v>
      </c>
      <c r="Q37" s="344" t="s">
        <v>241</v>
      </c>
      <c r="R37" s="344"/>
      <c r="S37" s="60"/>
    </row>
    <row r="38" spans="1:19" ht="30" customHeight="1" x14ac:dyDescent="0.25">
      <c r="A38" s="3"/>
      <c r="B38" s="20"/>
      <c r="C38" s="124" t="s">
        <v>105</v>
      </c>
      <c r="D38" s="128">
        <v>2</v>
      </c>
      <c r="E38" s="128"/>
      <c r="F38" s="128">
        <f t="shared" ref="F38:F51" si="1">D38+E38</f>
        <v>2</v>
      </c>
      <c r="G38" s="133">
        <v>2</v>
      </c>
      <c r="H38" s="133"/>
      <c r="I38" s="7"/>
      <c r="J38" s="351" t="s">
        <v>213</v>
      </c>
      <c r="K38" s="352"/>
      <c r="L38" s="353"/>
      <c r="M38" s="148">
        <v>79700</v>
      </c>
      <c r="N38" s="148">
        <v>14558</v>
      </c>
      <c r="O38" s="261" t="s">
        <v>214</v>
      </c>
      <c r="P38" s="252" t="s">
        <v>263</v>
      </c>
      <c r="Q38" s="344" t="s">
        <v>247</v>
      </c>
      <c r="R38" s="344"/>
      <c r="S38" s="60"/>
    </row>
    <row r="39" spans="1:19" ht="22.5" customHeight="1" x14ac:dyDescent="0.25">
      <c r="A39" s="3"/>
      <c r="B39" s="20"/>
      <c r="C39" s="124" t="s">
        <v>109</v>
      </c>
      <c r="D39" s="128">
        <v>3</v>
      </c>
      <c r="E39" s="128"/>
      <c r="F39" s="128">
        <f t="shared" si="1"/>
        <v>3</v>
      </c>
      <c r="G39" s="133">
        <v>2</v>
      </c>
      <c r="H39" s="133"/>
      <c r="I39" s="7"/>
      <c r="J39" s="351" t="s">
        <v>245</v>
      </c>
      <c r="K39" s="352"/>
      <c r="L39" s="353"/>
      <c r="M39" s="148">
        <v>75203</v>
      </c>
      <c r="N39" s="148"/>
      <c r="O39" s="261" t="s">
        <v>214</v>
      </c>
      <c r="P39" s="252" t="s">
        <v>216</v>
      </c>
      <c r="Q39" s="344" t="s">
        <v>246</v>
      </c>
      <c r="R39" s="344"/>
      <c r="S39" s="60"/>
    </row>
    <row r="40" spans="1:19" ht="22.5" customHeight="1" x14ac:dyDescent="0.25">
      <c r="A40" s="3"/>
      <c r="B40" s="297"/>
      <c r="C40" s="124"/>
      <c r="D40" s="128"/>
      <c r="E40" s="128"/>
      <c r="F40" s="128"/>
      <c r="G40" s="133"/>
      <c r="H40" s="133"/>
      <c r="I40" s="7"/>
      <c r="J40" s="351"/>
      <c r="K40" s="352"/>
      <c r="L40" s="353"/>
      <c r="M40" s="148"/>
      <c r="N40" s="148"/>
      <c r="O40" s="261"/>
      <c r="P40" s="252"/>
      <c r="Q40" s="339"/>
      <c r="R40" s="340"/>
      <c r="S40" s="60"/>
    </row>
    <row r="41" spans="1:19" ht="22.5" customHeight="1" x14ac:dyDescent="0.25">
      <c r="A41" s="3"/>
      <c r="B41" s="273"/>
      <c r="C41" s="124"/>
      <c r="D41" s="128"/>
      <c r="E41" s="128"/>
      <c r="F41" s="128"/>
      <c r="G41" s="133"/>
      <c r="H41" s="133"/>
      <c r="I41" s="7"/>
      <c r="J41" s="343" t="s">
        <v>208</v>
      </c>
      <c r="K41" s="343"/>
      <c r="L41" s="343"/>
      <c r="M41" s="148">
        <v>59695</v>
      </c>
      <c r="N41" s="148">
        <v>0</v>
      </c>
      <c r="O41" s="261" t="s">
        <v>231</v>
      </c>
      <c r="P41" s="252" t="s">
        <v>306</v>
      </c>
      <c r="Q41" s="344" t="s">
        <v>215</v>
      </c>
      <c r="R41" s="344"/>
      <c r="S41" s="60"/>
    </row>
    <row r="42" spans="1:19" ht="22.5" customHeight="1" x14ac:dyDescent="0.25">
      <c r="A42" s="3"/>
      <c r="B42" s="278"/>
      <c r="C42" s="124"/>
      <c r="D42" s="128"/>
      <c r="E42" s="128"/>
      <c r="F42" s="128"/>
      <c r="G42" s="133"/>
      <c r="H42" s="133"/>
      <c r="I42" s="7"/>
      <c r="J42" s="343" t="s">
        <v>237</v>
      </c>
      <c r="K42" s="343"/>
      <c r="L42" s="343"/>
      <c r="M42" s="148">
        <v>53000</v>
      </c>
      <c r="N42" s="148"/>
      <c r="O42" s="261" t="s">
        <v>238</v>
      </c>
      <c r="P42" s="252" t="s">
        <v>216</v>
      </c>
      <c r="Q42" s="344" t="s">
        <v>239</v>
      </c>
      <c r="R42" s="344"/>
      <c r="S42" s="60"/>
    </row>
    <row r="43" spans="1:19" ht="24.75" customHeight="1" x14ac:dyDescent="0.25">
      <c r="A43" s="3"/>
      <c r="B43" s="20"/>
      <c r="C43" s="124" t="s">
        <v>110</v>
      </c>
      <c r="D43" s="128">
        <v>0</v>
      </c>
      <c r="E43" s="128">
        <v>2</v>
      </c>
      <c r="F43" s="128">
        <f t="shared" si="1"/>
        <v>2</v>
      </c>
      <c r="G43" s="133"/>
      <c r="H43" s="133">
        <v>0</v>
      </c>
      <c r="I43" s="7"/>
      <c r="J43" s="347" t="s">
        <v>98</v>
      </c>
      <c r="K43" s="348"/>
      <c r="L43" s="348"/>
      <c r="M43" s="348"/>
      <c r="N43" s="163"/>
      <c r="O43" s="164">
        <f>SUM(N37:N42)</f>
        <v>38048</v>
      </c>
      <c r="P43" s="250"/>
      <c r="Q43" s="337"/>
      <c r="R43" s="337"/>
      <c r="S43" s="60"/>
    </row>
    <row r="44" spans="1:19" ht="26.25" customHeight="1" thickBot="1" x14ac:dyDescent="0.3">
      <c r="A44" s="3"/>
      <c r="B44" s="20"/>
      <c r="C44" s="124" t="s">
        <v>111</v>
      </c>
      <c r="D44" s="128">
        <v>1</v>
      </c>
      <c r="E44" s="128"/>
      <c r="F44" s="128"/>
      <c r="G44" s="134">
        <v>1</v>
      </c>
      <c r="H44" s="135"/>
      <c r="I44" s="7"/>
      <c r="J44" s="437" t="s">
        <v>99</v>
      </c>
      <c r="K44" s="438"/>
      <c r="L44" s="438"/>
      <c r="M44" s="438"/>
      <c r="N44" s="439"/>
      <c r="O44" s="147">
        <f>N22+N34+O43</f>
        <v>428749</v>
      </c>
      <c r="P44" s="251"/>
      <c r="Q44" s="338"/>
      <c r="R44" s="338"/>
      <c r="S44" s="60"/>
    </row>
    <row r="45" spans="1:19" ht="19.5" customHeight="1" thickBot="1" x14ac:dyDescent="0.3">
      <c r="A45" s="3"/>
      <c r="B45" s="20"/>
      <c r="C45" s="124" t="s">
        <v>112</v>
      </c>
      <c r="D45" s="128">
        <v>3</v>
      </c>
      <c r="E45" s="128">
        <v>0</v>
      </c>
      <c r="F45" s="128"/>
      <c r="G45" s="133">
        <v>2</v>
      </c>
      <c r="H45" s="135"/>
      <c r="I45" s="7"/>
      <c r="J45" s="21"/>
      <c r="K45" s="21"/>
      <c r="L45" s="21"/>
      <c r="M45" s="21"/>
      <c r="N45" s="21"/>
      <c r="O45" s="21"/>
      <c r="P45" s="22"/>
      <c r="Q45" s="22"/>
      <c r="R45" s="22"/>
      <c r="S45" s="22"/>
    </row>
    <row r="46" spans="1:19" ht="27.6" customHeight="1" x14ac:dyDescent="0.25">
      <c r="A46" s="3"/>
      <c r="C46" s="124" t="s">
        <v>113</v>
      </c>
      <c r="D46" s="128">
        <v>0</v>
      </c>
      <c r="E46" s="128">
        <v>4</v>
      </c>
      <c r="F46" s="128"/>
      <c r="G46" s="134">
        <v>1</v>
      </c>
      <c r="H46" s="133">
        <v>5</v>
      </c>
      <c r="J46" s="349" t="s">
        <v>102</v>
      </c>
      <c r="K46" s="350"/>
      <c r="L46" s="115" t="s">
        <v>1</v>
      </c>
      <c r="M46" s="116" t="s">
        <v>2</v>
      </c>
      <c r="N46" s="115" t="s">
        <v>3</v>
      </c>
      <c r="O46" s="117" t="s">
        <v>139</v>
      </c>
      <c r="P46" s="115" t="s">
        <v>13</v>
      </c>
      <c r="Q46" s="115" t="s">
        <v>14</v>
      </c>
      <c r="R46" s="118" t="s">
        <v>5</v>
      </c>
      <c r="S46" s="95"/>
    </row>
    <row r="47" spans="1:19" ht="23.25" customHeight="1" thickBot="1" x14ac:dyDescent="0.3">
      <c r="A47" s="3"/>
      <c r="C47" s="125" t="s">
        <v>114</v>
      </c>
      <c r="D47" s="129">
        <v>2</v>
      </c>
      <c r="E47" s="129">
        <v>0</v>
      </c>
      <c r="F47" s="129"/>
      <c r="G47" s="136"/>
      <c r="H47" s="133">
        <v>2</v>
      </c>
      <c r="J47" s="345" t="s">
        <v>15</v>
      </c>
      <c r="K47" s="346"/>
      <c r="L47" s="155">
        <v>48.71</v>
      </c>
      <c r="M47" s="155">
        <v>28.405899999999999</v>
      </c>
      <c r="N47" s="155">
        <f>13.431+13.469+16.326</f>
        <v>43.225999999999999</v>
      </c>
      <c r="O47" s="155">
        <f>SUM(L47:N47)</f>
        <v>120.3419</v>
      </c>
      <c r="P47" s="155">
        <v>0.91500000000000004</v>
      </c>
      <c r="Q47" s="155">
        <v>5.7009999999999996</v>
      </c>
      <c r="R47" s="156">
        <f>O47+P47+Q47</f>
        <v>126.9579</v>
      </c>
      <c r="S47" s="114"/>
    </row>
    <row r="48" spans="1:19" ht="23.25" customHeight="1" thickBot="1" x14ac:dyDescent="0.3">
      <c r="A48" s="3"/>
      <c r="C48" s="126" t="s">
        <v>136</v>
      </c>
      <c r="D48" s="130">
        <f>SUM(D36:D47)</f>
        <v>11</v>
      </c>
      <c r="E48" s="130">
        <f>SUM(E36:E47)</f>
        <v>6</v>
      </c>
      <c r="F48" s="130">
        <f t="shared" si="1"/>
        <v>17</v>
      </c>
      <c r="G48" s="137">
        <f>SUM(G36:G47)</f>
        <v>8</v>
      </c>
      <c r="H48" s="138">
        <f>SUM(H36:H47)</f>
        <v>7</v>
      </c>
      <c r="J48" s="345" t="s">
        <v>16</v>
      </c>
      <c r="K48" s="346"/>
      <c r="L48" s="155">
        <v>45.113999999999997</v>
      </c>
      <c r="M48" s="155">
        <v>25.663</v>
      </c>
      <c r="N48" s="155">
        <v>40.737000000000002</v>
      </c>
      <c r="O48" s="155">
        <f t="shared" ref="O48:O50" si="2">SUM(L48:N48)</f>
        <v>111.51400000000001</v>
      </c>
      <c r="P48" s="155">
        <v>0.90600000000000003</v>
      </c>
      <c r="Q48" s="155">
        <v>5.6619999999999999</v>
      </c>
      <c r="R48" s="156">
        <f>O48+P48+Q48</f>
        <v>118.08200000000002</v>
      </c>
      <c r="S48" s="114"/>
    </row>
    <row r="49" spans="1:19" ht="20.25" customHeight="1" x14ac:dyDescent="0.25">
      <c r="A49" s="3"/>
      <c r="C49" s="82" t="s">
        <v>132</v>
      </c>
      <c r="D49" s="79"/>
      <c r="E49" s="79"/>
      <c r="F49" s="79"/>
      <c r="G49" s="83"/>
      <c r="H49" s="84"/>
      <c r="J49" s="345" t="s">
        <v>17</v>
      </c>
      <c r="K49" s="346"/>
      <c r="L49" s="155">
        <f>(L47-L48)/L47*100</f>
        <v>7.3824676657770549</v>
      </c>
      <c r="M49" s="155">
        <f>(M47-M48)/M47*100</f>
        <v>9.6560925723177196</v>
      </c>
      <c r="N49" s="155">
        <f>(N47-N48)/N47*100</f>
        <v>5.7581085457826244</v>
      </c>
      <c r="O49" s="155">
        <f>(O47-O48)/O47*100</f>
        <v>7.3356827505631754</v>
      </c>
      <c r="P49" s="155">
        <f>(P47-P48)/P47*100</f>
        <v>0.98360655737704994</v>
      </c>
      <c r="Q49" s="155"/>
      <c r="R49" s="156"/>
      <c r="S49" s="107"/>
    </row>
    <row r="50" spans="1:19" ht="21" customHeight="1" thickBot="1" x14ac:dyDescent="0.3">
      <c r="A50" s="3"/>
      <c r="C50" s="80" t="s">
        <v>133</v>
      </c>
      <c r="D50" s="49">
        <v>3</v>
      </c>
      <c r="E50" s="49">
        <v>2</v>
      </c>
      <c r="F50" s="49">
        <f t="shared" si="1"/>
        <v>5</v>
      </c>
      <c r="G50" s="49">
        <v>2</v>
      </c>
      <c r="H50" s="50">
        <v>3</v>
      </c>
      <c r="I50" s="63"/>
      <c r="J50" s="420" t="s">
        <v>18</v>
      </c>
      <c r="K50" s="421"/>
      <c r="L50" s="155">
        <f>F13/L47/1000</f>
        <v>0.76269759802915216</v>
      </c>
      <c r="M50" s="155">
        <f>G13/M47/1000</f>
        <v>0.7052408126480767</v>
      </c>
      <c r="N50" s="155">
        <f>H13/N47/1000</f>
        <v>0.58656826909730264</v>
      </c>
      <c r="O50" s="155">
        <f t="shared" si="2"/>
        <v>2.0545066797745317</v>
      </c>
      <c r="P50" s="155">
        <f>(L14+M14+N14)/(L47+M47+N47)/1000</f>
        <v>0</v>
      </c>
      <c r="Q50" s="155"/>
      <c r="R50" s="156"/>
      <c r="S50" s="107"/>
    </row>
    <row r="51" spans="1:19" ht="23.45" customHeight="1" thickBot="1" x14ac:dyDescent="0.3">
      <c r="A51" s="3"/>
      <c r="C51" s="81" t="s">
        <v>108</v>
      </c>
      <c r="D51" s="86">
        <v>1</v>
      </c>
      <c r="E51" s="86">
        <v>3</v>
      </c>
      <c r="F51" s="86">
        <f t="shared" si="1"/>
        <v>4</v>
      </c>
      <c r="G51" s="86">
        <v>1</v>
      </c>
      <c r="H51" s="87">
        <v>1</v>
      </c>
      <c r="J51" s="139"/>
      <c r="K51" s="140"/>
      <c r="L51" s="345" t="s">
        <v>145</v>
      </c>
      <c r="M51" s="346"/>
      <c r="N51" s="453"/>
      <c r="O51" s="157">
        <v>240.27</v>
      </c>
      <c r="P51" s="141"/>
      <c r="Q51" s="341"/>
      <c r="R51" s="342"/>
      <c r="S51" s="108"/>
    </row>
    <row r="52" spans="1:19" ht="22.15" customHeight="1" x14ac:dyDescent="0.25">
      <c r="A52" s="3"/>
      <c r="B52" s="423" t="s">
        <v>134</v>
      </c>
      <c r="C52" s="424"/>
      <c r="D52" s="424"/>
      <c r="E52" s="424"/>
      <c r="F52" s="424"/>
      <c r="G52" s="425"/>
      <c r="H52" s="67"/>
      <c r="J52" s="423" t="s">
        <v>135</v>
      </c>
      <c r="K52" s="424"/>
      <c r="L52" s="424"/>
      <c r="M52" s="424"/>
      <c r="N52" s="424"/>
      <c r="O52" s="424"/>
      <c r="P52" s="425"/>
      <c r="Q52" s="59"/>
      <c r="R52" s="59"/>
      <c r="S52" s="59"/>
    </row>
    <row r="53" spans="1:19" ht="21" x14ac:dyDescent="0.25">
      <c r="A53" s="3"/>
      <c r="B53" s="119" t="s">
        <v>23</v>
      </c>
      <c r="C53" s="449" t="s">
        <v>21</v>
      </c>
      <c r="D53" s="450"/>
      <c r="E53" s="165" t="s">
        <v>50</v>
      </c>
      <c r="F53" s="415" t="s">
        <v>22</v>
      </c>
      <c r="G53" s="416"/>
      <c r="H53" s="59"/>
      <c r="J53" s="159" t="s">
        <v>23</v>
      </c>
      <c r="K53" s="422" t="s">
        <v>21</v>
      </c>
      <c r="L53" s="422"/>
      <c r="M53" s="422"/>
      <c r="N53" s="158" t="s">
        <v>142</v>
      </c>
      <c r="O53" s="451" t="s">
        <v>22</v>
      </c>
      <c r="P53" s="452"/>
      <c r="Q53" s="59"/>
      <c r="R53" s="59"/>
      <c r="S53" s="59"/>
    </row>
    <row r="54" spans="1:19" ht="21" x14ac:dyDescent="0.25">
      <c r="A54" s="3"/>
      <c r="B54" s="179">
        <v>1</v>
      </c>
      <c r="C54" s="415" t="s">
        <v>255</v>
      </c>
      <c r="D54" s="385"/>
      <c r="E54" s="254" t="s">
        <v>254</v>
      </c>
      <c r="F54" s="415" t="s">
        <v>248</v>
      </c>
      <c r="G54" s="416"/>
      <c r="H54" s="43"/>
      <c r="J54" s="253">
        <v>1</v>
      </c>
      <c r="K54" s="354" t="s">
        <v>194</v>
      </c>
      <c r="L54" s="354"/>
      <c r="M54" s="354"/>
      <c r="N54" s="254" t="s">
        <v>256</v>
      </c>
      <c r="O54" s="354" t="s">
        <v>304</v>
      </c>
      <c r="P54" s="354"/>
      <c r="Q54" s="59"/>
      <c r="R54" s="59"/>
      <c r="S54" s="59"/>
    </row>
    <row r="55" spans="1:19" ht="21" x14ac:dyDescent="0.25">
      <c r="A55" s="3"/>
      <c r="B55" s="301">
        <v>2</v>
      </c>
      <c r="C55" s="415" t="s">
        <v>252</v>
      </c>
      <c r="D55" s="385"/>
      <c r="E55" s="166" t="s">
        <v>253</v>
      </c>
      <c r="F55" s="415" t="s">
        <v>248</v>
      </c>
      <c r="G55" s="416"/>
      <c r="H55" s="43"/>
      <c r="J55" s="302">
        <v>2</v>
      </c>
      <c r="K55" s="354" t="s">
        <v>194</v>
      </c>
      <c r="L55" s="354"/>
      <c r="M55" s="354"/>
      <c r="N55" s="254" t="s">
        <v>257</v>
      </c>
      <c r="O55" s="354" t="s">
        <v>305</v>
      </c>
      <c r="P55" s="354"/>
      <c r="Q55" s="59"/>
      <c r="R55" s="59"/>
      <c r="S55" s="59"/>
    </row>
    <row r="56" spans="1:19" ht="21" x14ac:dyDescent="0.25">
      <c r="A56" s="3"/>
      <c r="B56" s="311">
        <v>3</v>
      </c>
      <c r="C56" s="415" t="s">
        <v>259</v>
      </c>
      <c r="D56" s="385"/>
      <c r="E56" s="166" t="s">
        <v>260</v>
      </c>
      <c r="F56" s="415" t="s">
        <v>307</v>
      </c>
      <c r="G56" s="416"/>
      <c r="H56" s="43"/>
      <c r="J56" s="310">
        <v>3</v>
      </c>
      <c r="K56" s="354" t="s">
        <v>261</v>
      </c>
      <c r="L56" s="354"/>
      <c r="M56" s="354"/>
      <c r="N56" s="254" t="s">
        <v>262</v>
      </c>
      <c r="O56" s="354" t="s">
        <v>233</v>
      </c>
      <c r="P56" s="354"/>
      <c r="Q56" s="59"/>
      <c r="R56" s="59"/>
      <c r="S56" s="59"/>
    </row>
    <row r="57" spans="1:19" ht="21" x14ac:dyDescent="0.25">
      <c r="A57" s="3"/>
      <c r="B57" s="319">
        <v>4</v>
      </c>
      <c r="C57" s="415" t="s">
        <v>302</v>
      </c>
      <c r="D57" s="385"/>
      <c r="E57" s="166" t="s">
        <v>303</v>
      </c>
      <c r="F57" s="415" t="s">
        <v>233</v>
      </c>
      <c r="G57" s="416"/>
      <c r="H57" s="43"/>
      <c r="J57" s="271"/>
      <c r="K57" s="271"/>
      <c r="L57" s="271"/>
      <c r="M57" s="271"/>
      <c r="N57" s="272"/>
      <c r="O57" s="271"/>
      <c r="P57" s="271"/>
      <c r="Q57" s="59"/>
      <c r="R57" s="59"/>
      <c r="S57" s="59"/>
    </row>
    <row r="58" spans="1:19" ht="21.75" customHeight="1" x14ac:dyDescent="0.2">
      <c r="A58" s="3"/>
      <c r="B58" s="448" t="s">
        <v>249</v>
      </c>
      <c r="C58" s="448"/>
      <c r="D58" s="448"/>
      <c r="E58" s="448"/>
      <c r="F58" s="448"/>
      <c r="G58" s="448"/>
      <c r="H58" s="448"/>
      <c r="I58" s="448"/>
      <c r="J58" s="448"/>
      <c r="K58" s="448"/>
      <c r="L58" s="448"/>
      <c r="M58" s="448"/>
      <c r="N58" s="448"/>
      <c r="O58" s="448"/>
      <c r="P58" s="448"/>
    </row>
    <row r="59" spans="1:19" ht="15.6" customHeight="1" x14ac:dyDescent="0.2">
      <c r="B59" s="3"/>
      <c r="C59" s="454" t="s">
        <v>94</v>
      </c>
      <c r="D59" s="454"/>
      <c r="E59" s="454"/>
      <c r="F59" s="454"/>
      <c r="G59" s="39"/>
      <c r="H59" s="39"/>
      <c r="I59" s="3"/>
      <c r="J59" s="454" t="s">
        <v>89</v>
      </c>
      <c r="K59" s="454"/>
      <c r="L59" s="454"/>
      <c r="M59" s="454"/>
      <c r="N59" s="454"/>
      <c r="O59" s="41"/>
    </row>
    <row r="60" spans="1:19" ht="25.5" x14ac:dyDescent="0.2">
      <c r="B60" s="109" t="s">
        <v>23</v>
      </c>
      <c r="C60" s="444" t="s">
        <v>78</v>
      </c>
      <c r="D60" s="444"/>
      <c r="E60" s="444"/>
      <c r="F60" s="444"/>
      <c r="G60" s="39"/>
      <c r="H60" s="39"/>
      <c r="I60" s="109" t="s">
        <v>23</v>
      </c>
      <c r="J60" s="444" t="s">
        <v>78</v>
      </c>
      <c r="K60" s="444"/>
      <c r="L60" s="444"/>
      <c r="M60" s="444"/>
      <c r="N60" s="444"/>
      <c r="O60" s="41"/>
    </row>
    <row r="61" spans="1:19" ht="25.5" x14ac:dyDescent="0.2">
      <c r="B61" s="109"/>
      <c r="C61" s="309"/>
      <c r="D61" s="309"/>
      <c r="E61" s="309"/>
      <c r="F61" s="309"/>
      <c r="G61" s="39"/>
      <c r="H61" s="39"/>
      <c r="I61" s="109"/>
      <c r="J61" s="309"/>
      <c r="K61" s="309"/>
      <c r="L61" s="309"/>
      <c r="M61" s="309"/>
      <c r="N61" s="309"/>
      <c r="O61" s="41"/>
    </row>
    <row r="62" spans="1:19" ht="16.149999999999999" customHeight="1" x14ac:dyDescent="0.15">
      <c r="B62" s="110">
        <v>1</v>
      </c>
      <c r="C62" s="248" t="s">
        <v>281</v>
      </c>
      <c r="D62" s="248"/>
      <c r="E62" s="248"/>
      <c r="F62" s="248"/>
      <c r="G62" s="282"/>
      <c r="H62" s="39"/>
      <c r="I62" s="110">
        <v>1</v>
      </c>
      <c r="J62" s="317" t="s">
        <v>234</v>
      </c>
      <c r="K62" s="280"/>
      <c r="L62" s="280"/>
      <c r="M62" s="280"/>
      <c r="N62" s="280"/>
      <c r="O62" s="41"/>
      <c r="P62" s="38"/>
      <c r="Q62" s="38"/>
      <c r="R62" s="38"/>
      <c r="S62" s="38"/>
    </row>
    <row r="63" spans="1:19" ht="16.149999999999999" customHeight="1" x14ac:dyDescent="0.15">
      <c r="B63" s="110">
        <v>2</v>
      </c>
      <c r="C63" s="318" t="s">
        <v>282</v>
      </c>
      <c r="D63" s="248"/>
      <c r="E63" s="248"/>
      <c r="F63" s="248"/>
      <c r="G63" s="39"/>
      <c r="H63" s="42"/>
      <c r="I63" s="110">
        <v>2</v>
      </c>
      <c r="J63" s="317" t="s">
        <v>269</v>
      </c>
      <c r="K63" s="280"/>
      <c r="L63" s="280"/>
      <c r="M63" s="280"/>
      <c r="N63" s="280"/>
      <c r="O63" s="41"/>
      <c r="P63" s="38"/>
      <c r="Q63" s="38"/>
      <c r="R63" s="38"/>
      <c r="S63" s="38"/>
    </row>
    <row r="64" spans="1:19" ht="16.149999999999999" customHeight="1" x14ac:dyDescent="0.15">
      <c r="B64" s="110">
        <v>3</v>
      </c>
      <c r="C64" s="318" t="s">
        <v>283</v>
      </c>
      <c r="D64" s="248"/>
      <c r="E64" s="248"/>
      <c r="F64" s="248"/>
      <c r="G64" s="282"/>
      <c r="H64" s="39"/>
      <c r="I64" s="110">
        <v>3</v>
      </c>
      <c r="J64" s="317" t="s">
        <v>242</v>
      </c>
      <c r="K64" s="268"/>
      <c r="L64" s="280"/>
      <c r="M64" s="280"/>
      <c r="N64" s="280"/>
      <c r="O64" s="41"/>
    </row>
    <row r="65" spans="2:15" ht="16.149999999999999" customHeight="1" x14ac:dyDescent="0.15">
      <c r="B65" s="110">
        <v>4</v>
      </c>
      <c r="C65" s="248" t="s">
        <v>284</v>
      </c>
      <c r="D65" s="248"/>
      <c r="E65" s="248"/>
      <c r="F65" s="248"/>
      <c r="G65" s="39"/>
      <c r="H65" s="39"/>
      <c r="I65" s="110">
        <v>4</v>
      </c>
      <c r="J65" s="317" t="s">
        <v>243</v>
      </c>
      <c r="K65" s="280"/>
      <c r="L65" s="280"/>
      <c r="M65" s="280"/>
      <c r="N65" s="280"/>
      <c r="O65" s="41"/>
    </row>
    <row r="66" spans="2:15" ht="16.149999999999999" customHeight="1" x14ac:dyDescent="0.15">
      <c r="B66" s="110">
        <v>5</v>
      </c>
      <c r="C66" s="248" t="s">
        <v>285</v>
      </c>
      <c r="D66" s="248"/>
      <c r="E66" s="248"/>
      <c r="F66" s="248"/>
      <c r="G66" s="286"/>
      <c r="H66" s="39"/>
      <c r="I66" s="110">
        <v>5</v>
      </c>
      <c r="J66" s="308" t="s">
        <v>270</v>
      </c>
      <c r="K66" s="280"/>
      <c r="L66" s="280"/>
      <c r="M66" s="280"/>
      <c r="N66" s="280"/>
      <c r="O66" s="41"/>
    </row>
    <row r="67" spans="2:15" ht="16.149999999999999" customHeight="1" x14ac:dyDescent="0.15">
      <c r="B67" s="110">
        <v>6</v>
      </c>
      <c r="C67" s="248" t="s">
        <v>286</v>
      </c>
      <c r="D67" s="255"/>
      <c r="E67" s="255"/>
      <c r="F67" s="248"/>
      <c r="G67" s="286"/>
      <c r="H67" s="39"/>
      <c r="I67" s="110">
        <v>6</v>
      </c>
      <c r="J67" s="305" t="s">
        <v>271</v>
      </c>
      <c r="K67" s="280"/>
      <c r="L67" s="280"/>
      <c r="M67" s="280"/>
      <c r="N67" s="280"/>
      <c r="O67" s="41"/>
    </row>
    <row r="68" spans="2:15" ht="16.149999999999999" customHeight="1" x14ac:dyDescent="0.15">
      <c r="B68" s="110">
        <v>7</v>
      </c>
      <c r="C68" s="248" t="s">
        <v>301</v>
      </c>
      <c r="D68" s="248"/>
      <c r="E68" s="248"/>
      <c r="F68" s="248"/>
      <c r="G68" s="286"/>
      <c r="H68" s="39"/>
      <c r="I68" s="110">
        <v>7</v>
      </c>
      <c r="J68" s="317" t="s">
        <v>274</v>
      </c>
      <c r="K68" s="280"/>
      <c r="L68" s="280"/>
      <c r="M68" s="280"/>
      <c r="N68" s="280"/>
      <c r="O68" s="41"/>
    </row>
    <row r="69" spans="2:15" ht="16.149999999999999" customHeight="1" x14ac:dyDescent="0.15">
      <c r="B69" s="110">
        <v>8</v>
      </c>
      <c r="C69" s="248" t="s">
        <v>287</v>
      </c>
      <c r="D69" s="282"/>
      <c r="E69" s="282"/>
      <c r="F69" s="255"/>
      <c r="G69" s="286"/>
      <c r="H69" s="275"/>
      <c r="I69" s="110">
        <v>8</v>
      </c>
      <c r="J69" s="317" t="s">
        <v>273</v>
      </c>
      <c r="K69" s="280"/>
      <c r="L69" s="280"/>
      <c r="M69" s="280"/>
      <c r="N69" s="280"/>
      <c r="O69" s="38"/>
    </row>
    <row r="70" spans="2:15" ht="16.149999999999999" customHeight="1" x14ac:dyDescent="0.15">
      <c r="B70" s="110">
        <v>9</v>
      </c>
      <c r="C70" s="248" t="s">
        <v>288</v>
      </c>
      <c r="D70" s="248"/>
      <c r="E70" s="248"/>
      <c r="F70" s="248"/>
      <c r="G70" s="286"/>
      <c r="H70" s="275"/>
      <c r="I70" s="110">
        <v>9</v>
      </c>
      <c r="J70" s="317" t="s">
        <v>272</v>
      </c>
      <c r="K70" s="280"/>
      <c r="L70" s="280"/>
      <c r="M70" s="280"/>
      <c r="N70" s="280"/>
      <c r="O70" s="38"/>
    </row>
    <row r="71" spans="2:15" ht="16.149999999999999" customHeight="1" x14ac:dyDescent="0.15">
      <c r="B71" s="110">
        <v>10</v>
      </c>
      <c r="C71" s="248" t="s">
        <v>289</v>
      </c>
      <c r="D71" s="248"/>
      <c r="E71" s="248"/>
      <c r="F71" s="282"/>
      <c r="G71" s="286"/>
      <c r="H71" s="275"/>
      <c r="I71" s="110">
        <v>10</v>
      </c>
      <c r="J71" s="308" t="s">
        <v>277</v>
      </c>
      <c r="K71" s="281"/>
      <c r="L71" s="281"/>
      <c r="M71" s="281"/>
      <c r="N71" s="281"/>
      <c r="O71" s="38"/>
    </row>
    <row r="72" spans="2:15" ht="16.149999999999999" customHeight="1" x14ac:dyDescent="0.15">
      <c r="B72" s="110">
        <v>11</v>
      </c>
      <c r="C72" s="248" t="s">
        <v>291</v>
      </c>
      <c r="D72" s="248"/>
      <c r="E72" s="248"/>
      <c r="F72" s="248"/>
      <c r="G72" s="286"/>
      <c r="H72" s="275"/>
      <c r="I72" s="110">
        <v>11</v>
      </c>
      <c r="J72" s="317" t="s">
        <v>275</v>
      </c>
      <c r="K72" s="281"/>
      <c r="L72" s="281"/>
      <c r="M72" s="281"/>
      <c r="N72" s="281"/>
      <c r="O72" s="38"/>
    </row>
    <row r="73" spans="2:15" ht="16.149999999999999" customHeight="1" x14ac:dyDescent="0.15">
      <c r="B73" s="110">
        <v>12</v>
      </c>
      <c r="C73" s="248" t="s">
        <v>290</v>
      </c>
      <c r="D73" s="248"/>
      <c r="E73" s="248"/>
      <c r="F73" s="248"/>
      <c r="G73" s="256"/>
      <c r="H73" s="275"/>
      <c r="I73" s="110">
        <v>12</v>
      </c>
      <c r="J73" s="317" t="s">
        <v>276</v>
      </c>
      <c r="K73" s="281"/>
      <c r="L73" s="281"/>
      <c r="M73" s="281"/>
      <c r="N73" s="281"/>
      <c r="O73" s="38"/>
    </row>
    <row r="74" spans="2:15" ht="16.149999999999999" customHeight="1" x14ac:dyDescent="0.15">
      <c r="B74" s="110">
        <v>13</v>
      </c>
      <c r="C74" s="248" t="s">
        <v>292</v>
      </c>
      <c r="D74" s="248"/>
      <c r="E74" s="248"/>
      <c r="F74" s="248"/>
      <c r="G74" s="286"/>
      <c r="H74" s="275"/>
      <c r="I74" s="110">
        <v>13</v>
      </c>
      <c r="J74" s="317" t="s">
        <v>278</v>
      </c>
      <c r="K74" s="281"/>
      <c r="L74" s="281"/>
      <c r="M74" s="281"/>
      <c r="N74" s="281"/>
      <c r="O74" s="38"/>
    </row>
    <row r="75" spans="2:15" ht="16.149999999999999" customHeight="1" x14ac:dyDescent="0.15">
      <c r="B75" s="110">
        <v>14</v>
      </c>
      <c r="C75" s="318" t="s">
        <v>293</v>
      </c>
      <c r="D75" s="249"/>
      <c r="E75" s="249"/>
      <c r="F75" s="248"/>
      <c r="G75" s="286"/>
      <c r="H75" s="275"/>
      <c r="I75" s="110">
        <v>14</v>
      </c>
      <c r="J75" s="317" t="s">
        <v>279</v>
      </c>
      <c r="K75" s="282"/>
      <c r="L75" s="282"/>
      <c r="M75" s="282"/>
      <c r="N75" s="282"/>
      <c r="O75" s="38"/>
    </row>
    <row r="76" spans="2:15" ht="16.149999999999999" customHeight="1" x14ac:dyDescent="0.15">
      <c r="B76" s="110">
        <v>15</v>
      </c>
      <c r="C76" s="248" t="s">
        <v>294</v>
      </c>
      <c r="D76" s="285"/>
      <c r="E76" s="285"/>
      <c r="F76" s="285"/>
      <c r="G76" s="285"/>
      <c r="H76" s="275"/>
      <c r="I76" s="110">
        <v>15</v>
      </c>
      <c r="J76" s="317" t="s">
        <v>280</v>
      </c>
      <c r="K76" s="282"/>
      <c r="L76" s="282"/>
      <c r="M76" s="282"/>
      <c r="N76" s="282"/>
      <c r="O76" s="270"/>
    </row>
    <row r="77" spans="2:15" ht="16.149999999999999" customHeight="1" x14ac:dyDescent="0.15">
      <c r="B77" s="110">
        <v>16</v>
      </c>
      <c r="C77" s="248" t="s">
        <v>295</v>
      </c>
      <c r="D77" s="249"/>
      <c r="E77" s="249"/>
      <c r="F77" s="249"/>
      <c r="G77" s="286"/>
      <c r="H77" s="275"/>
      <c r="I77" s="110"/>
      <c r="J77" s="282"/>
      <c r="K77" s="282"/>
      <c r="L77" s="282"/>
      <c r="M77" s="282"/>
      <c r="N77" s="282"/>
      <c r="O77" s="38"/>
    </row>
    <row r="78" spans="2:15" ht="16.149999999999999" customHeight="1" x14ac:dyDescent="0.15">
      <c r="B78" s="110">
        <v>17</v>
      </c>
      <c r="C78" s="248" t="s">
        <v>296</v>
      </c>
      <c r="D78" s="249"/>
      <c r="E78" s="249"/>
      <c r="F78" s="249"/>
      <c r="G78" s="286"/>
      <c r="H78" s="275"/>
      <c r="I78" s="267"/>
      <c r="J78" s="282"/>
      <c r="K78" s="282"/>
      <c r="L78" s="282"/>
      <c r="M78" s="282"/>
      <c r="N78" s="282"/>
      <c r="O78" s="277"/>
    </row>
    <row r="79" spans="2:15" ht="16.149999999999999" customHeight="1" x14ac:dyDescent="0.15">
      <c r="B79" s="110">
        <v>18</v>
      </c>
      <c r="C79" s="248" t="s">
        <v>297</v>
      </c>
      <c r="D79" s="249"/>
      <c r="E79" s="249"/>
      <c r="F79" s="249"/>
      <c r="G79" s="286"/>
      <c r="H79" s="275"/>
      <c r="I79" s="267"/>
      <c r="J79" s="282"/>
      <c r="K79" s="276"/>
      <c r="L79" s="276"/>
      <c r="M79" s="276"/>
      <c r="N79" s="276"/>
      <c r="O79" s="277"/>
    </row>
    <row r="80" spans="2:15" ht="16.149999999999999" customHeight="1" x14ac:dyDescent="0.15">
      <c r="B80" s="110">
        <v>19</v>
      </c>
      <c r="C80" s="248" t="s">
        <v>298</v>
      </c>
      <c r="D80" s="249"/>
      <c r="E80" s="249"/>
      <c r="F80" s="249"/>
      <c r="G80" s="286"/>
      <c r="H80" s="275"/>
      <c r="I80" s="267"/>
      <c r="J80" s="355"/>
      <c r="K80" s="355"/>
      <c r="L80" s="355"/>
      <c r="M80" s="355"/>
      <c r="N80" s="355"/>
      <c r="O80" s="277"/>
    </row>
    <row r="81" spans="2:16" ht="16.149999999999999" customHeight="1" x14ac:dyDescent="0.15">
      <c r="B81" s="110">
        <v>20</v>
      </c>
      <c r="C81" s="248" t="s">
        <v>244</v>
      </c>
      <c r="D81" s="249"/>
      <c r="E81" s="249"/>
      <c r="F81" s="249"/>
      <c r="G81" s="286"/>
      <c r="H81" s="275"/>
      <c r="I81" s="267"/>
      <c r="J81" s="355"/>
      <c r="K81" s="355"/>
      <c r="L81" s="355"/>
      <c r="M81" s="355"/>
      <c r="N81" s="355"/>
      <c r="O81" s="283"/>
    </row>
    <row r="82" spans="2:16" ht="16.149999999999999" customHeight="1" x14ac:dyDescent="0.15">
      <c r="B82" s="110">
        <v>21</v>
      </c>
      <c r="C82" s="248" t="s">
        <v>244</v>
      </c>
      <c r="D82" s="286"/>
      <c r="E82" s="286"/>
      <c r="F82" s="249"/>
      <c r="G82" s="286"/>
      <c r="H82" s="275"/>
      <c r="I82" s="267"/>
      <c r="J82" s="292" t="s">
        <v>166</v>
      </c>
      <c r="K82" s="269"/>
      <c r="L82" s="269"/>
      <c r="M82" s="269"/>
      <c r="N82" s="269"/>
      <c r="O82" s="283"/>
    </row>
    <row r="83" spans="2:16" ht="16.149999999999999" customHeight="1" x14ac:dyDescent="0.15">
      <c r="B83" s="110">
        <v>22</v>
      </c>
      <c r="C83" s="248" t="s">
        <v>244</v>
      </c>
      <c r="D83" s="263"/>
      <c r="E83" s="263"/>
      <c r="F83" s="249"/>
      <c r="G83" s="249"/>
      <c r="H83" s="275"/>
      <c r="I83" s="267"/>
      <c r="J83" s="282"/>
      <c r="K83" s="282"/>
      <c r="L83" s="282"/>
      <c r="M83" s="282"/>
      <c r="N83" s="282"/>
      <c r="O83" s="283"/>
    </row>
    <row r="84" spans="2:16" ht="16.149999999999999" customHeight="1" x14ac:dyDescent="0.15">
      <c r="B84" s="110">
        <v>23</v>
      </c>
      <c r="C84" s="248" t="s">
        <v>299</v>
      </c>
      <c r="D84" s="274"/>
      <c r="E84" s="274"/>
      <c r="F84" s="286"/>
      <c r="G84" s="249"/>
      <c r="H84" s="275"/>
      <c r="I84" s="267">
        <v>1</v>
      </c>
      <c r="J84" s="334" t="s">
        <v>264</v>
      </c>
      <c r="K84" s="334"/>
      <c r="L84" s="334"/>
      <c r="M84" s="334"/>
      <c r="N84" s="334"/>
      <c r="O84" s="334"/>
    </row>
    <row r="85" spans="2:16" ht="16.149999999999999" customHeight="1" x14ac:dyDescent="0.15">
      <c r="B85" s="110">
        <v>24</v>
      </c>
      <c r="C85" s="318" t="s">
        <v>300</v>
      </c>
      <c r="D85" s="286"/>
      <c r="E85" s="286"/>
      <c r="F85" s="286"/>
      <c r="G85" s="286"/>
      <c r="H85" s="275"/>
      <c r="I85" s="267">
        <v>2</v>
      </c>
      <c r="J85" s="334" t="s">
        <v>265</v>
      </c>
      <c r="K85" s="334"/>
      <c r="L85" s="334"/>
      <c r="M85" s="334"/>
      <c r="N85" s="334"/>
      <c r="O85" s="334"/>
    </row>
    <row r="86" spans="2:16" ht="16.149999999999999" customHeight="1" x14ac:dyDescent="0.15">
      <c r="B86" s="110">
        <v>25</v>
      </c>
      <c r="C86" s="318" t="s">
        <v>300</v>
      </c>
      <c r="D86" s="274"/>
      <c r="E86" s="274"/>
      <c r="F86" s="286"/>
      <c r="G86" s="249"/>
      <c r="H86" s="249"/>
      <c r="I86" s="267">
        <v>3</v>
      </c>
      <c r="J86" s="334" t="s">
        <v>268</v>
      </c>
      <c r="K86" s="334"/>
      <c r="L86" s="334"/>
      <c r="M86" s="334"/>
      <c r="N86" s="334"/>
      <c r="O86" s="334"/>
    </row>
    <row r="87" spans="2:16" ht="16.149999999999999" customHeight="1" x14ac:dyDescent="0.2">
      <c r="B87" s="110"/>
      <c r="D87" s="286"/>
      <c r="E87" s="286"/>
      <c r="F87" s="286"/>
      <c r="G87" s="286"/>
      <c r="H87" s="249"/>
      <c r="I87" s="267">
        <v>4</v>
      </c>
      <c r="J87" s="334" t="s">
        <v>268</v>
      </c>
      <c r="K87" s="334"/>
      <c r="L87" s="334"/>
      <c r="M87" s="334"/>
      <c r="N87" s="334"/>
      <c r="O87" s="334"/>
    </row>
    <row r="88" spans="2:16" ht="16.149999999999999" customHeight="1" x14ac:dyDescent="0.2">
      <c r="B88" s="110"/>
      <c r="C88" s="306"/>
      <c r="H88" s="275"/>
      <c r="I88" s="267">
        <v>5</v>
      </c>
      <c r="J88" s="334" t="s">
        <v>266</v>
      </c>
      <c r="K88" s="334"/>
      <c r="L88" s="334"/>
      <c r="M88" s="334"/>
      <c r="N88" s="334"/>
      <c r="O88" s="334"/>
    </row>
    <row r="89" spans="2:16" ht="16.149999999999999" customHeight="1" x14ac:dyDescent="0.2">
      <c r="B89" s="110"/>
      <c r="D89" s="285"/>
      <c r="E89" s="285"/>
      <c r="F89" s="285"/>
      <c r="G89" s="285"/>
      <c r="H89" s="275"/>
      <c r="I89" s="267">
        <v>6</v>
      </c>
      <c r="J89" s="334" t="s">
        <v>267</v>
      </c>
      <c r="K89" s="334"/>
      <c r="L89" s="334"/>
      <c r="M89" s="334"/>
      <c r="N89" s="334"/>
      <c r="O89" s="334"/>
      <c r="P89" s="262"/>
    </row>
    <row r="90" spans="2:16" ht="16.149999999999999" customHeight="1" x14ac:dyDescent="0.15">
      <c r="B90" s="110"/>
      <c r="C90" s="306"/>
      <c r="D90" s="285"/>
      <c r="E90" s="285"/>
      <c r="F90" s="285"/>
      <c r="G90" s="285"/>
      <c r="H90" s="275"/>
      <c r="I90" s="267"/>
      <c r="J90" s="334"/>
      <c r="K90" s="334"/>
      <c r="L90" s="334"/>
      <c r="M90" s="334"/>
      <c r="N90" s="334"/>
      <c r="O90" s="334"/>
    </row>
    <row r="91" spans="2:16" ht="24" x14ac:dyDescent="0.15">
      <c r="B91" s="110"/>
      <c r="C91" s="306"/>
      <c r="D91" s="285"/>
      <c r="E91" s="285"/>
      <c r="F91" s="285"/>
      <c r="G91" s="285"/>
      <c r="H91" s="275"/>
      <c r="I91" s="267"/>
      <c r="J91" s="334"/>
      <c r="K91" s="334"/>
      <c r="L91" s="334"/>
      <c r="M91" s="334"/>
      <c r="N91" s="334"/>
      <c r="O91" s="334"/>
    </row>
    <row r="92" spans="2:16" ht="20.25" customHeight="1" x14ac:dyDescent="0.15">
      <c r="B92" s="110"/>
      <c r="C92" s="303"/>
      <c r="D92" s="286"/>
      <c r="E92" s="286"/>
      <c r="F92" s="286"/>
      <c r="G92" s="286"/>
      <c r="H92" s="275"/>
      <c r="I92" s="267"/>
      <c r="J92" s="334"/>
      <c r="K92" s="334"/>
      <c r="L92" s="334"/>
      <c r="M92" s="334"/>
      <c r="N92" s="334"/>
      <c r="O92" s="334"/>
    </row>
    <row r="93" spans="2:16" ht="18" customHeight="1" x14ac:dyDescent="0.2">
      <c r="B93" s="110"/>
      <c r="D93" s="286"/>
      <c r="E93" s="286"/>
      <c r="F93" s="286"/>
      <c r="G93" s="286"/>
      <c r="H93" s="275"/>
      <c r="I93" s="262"/>
      <c r="J93" s="441"/>
      <c r="K93" s="441"/>
      <c r="L93" s="441"/>
      <c r="M93" s="441"/>
      <c r="N93" s="441"/>
      <c r="O93" s="38"/>
    </row>
    <row r="94" spans="2:16" ht="24" x14ac:dyDescent="0.2">
      <c r="B94" s="110"/>
      <c r="D94" s="286"/>
      <c r="E94" s="286"/>
      <c r="F94" s="286"/>
      <c r="G94" s="286"/>
      <c r="H94" s="275"/>
      <c r="J94" s="441"/>
      <c r="K94" s="441"/>
      <c r="L94" s="441"/>
      <c r="M94" s="441"/>
      <c r="N94" s="441"/>
      <c r="O94" s="38"/>
    </row>
    <row r="95" spans="2:16" ht="24" x14ac:dyDescent="0.2">
      <c r="B95" s="110"/>
      <c r="D95" s="275"/>
      <c r="E95" s="275"/>
      <c r="F95" s="275"/>
      <c r="G95" s="275"/>
      <c r="H95" s="275"/>
      <c r="J95" s="441"/>
      <c r="K95" s="441"/>
      <c r="L95" s="441"/>
      <c r="M95" s="441"/>
      <c r="N95" s="441"/>
      <c r="O95" s="38"/>
    </row>
    <row r="96" spans="2:16" ht="24" x14ac:dyDescent="0.15">
      <c r="B96" s="110"/>
      <c r="C96" s="248"/>
      <c r="D96" s="263"/>
      <c r="E96" s="263"/>
      <c r="F96" s="263"/>
      <c r="G96" s="263"/>
      <c r="H96" s="263"/>
      <c r="J96" s="441"/>
      <c r="K96" s="441"/>
      <c r="L96" s="441"/>
      <c r="M96" s="441"/>
      <c r="N96" s="441"/>
      <c r="O96" s="38"/>
    </row>
    <row r="97" spans="2:15" ht="22.5" x14ac:dyDescent="0.15">
      <c r="B97" s="110"/>
      <c r="C97" s="248"/>
      <c r="D97" s="248"/>
      <c r="E97" s="248"/>
      <c r="F97" s="248"/>
      <c r="G97" s="248"/>
      <c r="H97" s="248"/>
      <c r="I97" s="262"/>
      <c r="J97" s="264"/>
      <c r="K97" s="264"/>
      <c r="L97" s="264"/>
      <c r="M97" s="264"/>
      <c r="N97" s="264"/>
      <c r="O97" s="38"/>
    </row>
    <row r="98" spans="2:15" ht="22.5" x14ac:dyDescent="0.15">
      <c r="B98" s="110"/>
      <c r="C98" s="248"/>
      <c r="D98" s="248"/>
      <c r="E98" s="248"/>
      <c r="F98" s="248"/>
      <c r="G98" s="248"/>
      <c r="H98" s="248"/>
      <c r="J98" s="441"/>
      <c r="K98" s="441"/>
      <c r="L98" s="441"/>
      <c r="M98" s="441"/>
      <c r="N98" s="441"/>
      <c r="O98" s="38"/>
    </row>
    <row r="99" spans="2:15" ht="22.5" x14ac:dyDescent="0.15">
      <c r="B99" s="110"/>
      <c r="C99" s="248"/>
      <c r="D99" s="248"/>
      <c r="E99" s="248"/>
      <c r="F99" s="248"/>
      <c r="G99" s="248"/>
      <c r="H99" s="248"/>
      <c r="J99" s="441"/>
      <c r="K99" s="441"/>
      <c r="L99" s="441"/>
      <c r="M99" s="441"/>
      <c r="N99" s="441"/>
      <c r="O99" s="38"/>
    </row>
    <row r="100" spans="2:15" ht="22.5" x14ac:dyDescent="0.15">
      <c r="B100" s="110"/>
      <c r="C100" s="248"/>
      <c r="D100" s="248"/>
      <c r="E100" s="248"/>
      <c r="F100" s="248"/>
      <c r="G100" s="248"/>
      <c r="H100" s="248"/>
      <c r="J100" s="441"/>
      <c r="K100" s="441"/>
      <c r="L100" s="441"/>
      <c r="M100" s="441"/>
      <c r="N100" s="441"/>
      <c r="O100" s="38"/>
    </row>
    <row r="101" spans="2:15" ht="24" x14ac:dyDescent="0.15">
      <c r="C101" s="440"/>
      <c r="D101" s="440"/>
      <c r="E101" s="440"/>
      <c r="F101" s="440"/>
      <c r="G101" s="440"/>
      <c r="H101" s="440"/>
      <c r="J101" s="441"/>
      <c r="K101" s="441"/>
      <c r="L101" s="441"/>
      <c r="M101" s="441"/>
      <c r="N101" s="441"/>
      <c r="O101" s="38"/>
    </row>
    <row r="102" spans="2:15" ht="24" x14ac:dyDescent="0.15">
      <c r="C102" s="440"/>
      <c r="D102" s="440"/>
      <c r="E102" s="440"/>
      <c r="F102" s="440"/>
      <c r="G102" s="440"/>
      <c r="H102" s="440"/>
      <c r="J102" s="441"/>
      <c r="K102" s="441"/>
      <c r="L102" s="441"/>
      <c r="M102" s="441"/>
      <c r="N102" s="441"/>
      <c r="O102" s="38"/>
    </row>
    <row r="103" spans="2:15" ht="24" x14ac:dyDescent="0.15">
      <c r="C103" s="440"/>
      <c r="D103" s="440"/>
      <c r="E103" s="440"/>
      <c r="F103" s="440"/>
      <c r="G103" s="440"/>
      <c r="H103" s="440"/>
      <c r="J103" s="441"/>
      <c r="K103" s="441"/>
      <c r="L103" s="441"/>
      <c r="M103" s="441"/>
      <c r="N103" s="441"/>
      <c r="O103" s="38"/>
    </row>
    <row r="104" spans="2:15" ht="24" x14ac:dyDescent="0.15">
      <c r="C104" s="440"/>
      <c r="D104" s="440"/>
      <c r="E104" s="440"/>
      <c r="F104" s="440"/>
      <c r="G104" s="440"/>
      <c r="H104" s="440"/>
      <c r="J104" s="441"/>
      <c r="K104" s="441"/>
      <c r="L104" s="441"/>
      <c r="M104" s="441"/>
      <c r="N104" s="441"/>
      <c r="O104" s="38"/>
    </row>
    <row r="105" spans="2:15" ht="24" x14ac:dyDescent="0.15">
      <c r="C105" s="440"/>
      <c r="D105" s="440"/>
      <c r="E105" s="440"/>
      <c r="F105" s="440"/>
      <c r="G105" s="440"/>
      <c r="H105" s="440"/>
      <c r="J105" s="441"/>
      <c r="K105" s="441"/>
      <c r="L105" s="441"/>
      <c r="M105" s="441"/>
      <c r="N105" s="441"/>
      <c r="O105" s="38"/>
    </row>
    <row r="106" spans="2:15" ht="24" x14ac:dyDescent="0.15">
      <c r="C106" s="440"/>
      <c r="D106" s="440"/>
      <c r="E106" s="440"/>
      <c r="F106" s="440"/>
      <c r="G106" s="440"/>
      <c r="H106" s="440"/>
      <c r="J106" s="441"/>
      <c r="K106" s="441"/>
      <c r="L106" s="441"/>
      <c r="M106" s="441"/>
      <c r="N106" s="441"/>
      <c r="O106" s="38"/>
    </row>
    <row r="107" spans="2:15" ht="24" x14ac:dyDescent="0.15">
      <c r="C107" s="440"/>
      <c r="D107" s="440"/>
      <c r="E107" s="440"/>
      <c r="F107" s="440"/>
      <c r="G107" s="440"/>
      <c r="H107" s="440"/>
      <c r="J107" s="441"/>
      <c r="K107" s="441"/>
      <c r="L107" s="441"/>
      <c r="M107" s="441"/>
      <c r="N107" s="441"/>
      <c r="O107" s="38"/>
    </row>
    <row r="108" spans="2:15" ht="24" x14ac:dyDescent="0.15">
      <c r="C108" s="440"/>
      <c r="D108" s="440"/>
      <c r="E108" s="440"/>
      <c r="F108" s="440"/>
      <c r="G108" s="440"/>
      <c r="H108" s="440"/>
      <c r="J108" s="441"/>
      <c r="K108" s="441"/>
      <c r="L108" s="441"/>
      <c r="M108" s="441"/>
      <c r="N108" s="441"/>
      <c r="O108" s="38"/>
    </row>
    <row r="109" spans="2:15" ht="24" x14ac:dyDescent="0.15">
      <c r="C109" s="440"/>
      <c r="D109" s="440"/>
      <c r="E109" s="440"/>
      <c r="F109" s="440"/>
      <c r="G109" s="440"/>
      <c r="H109" s="440"/>
      <c r="J109" s="441"/>
      <c r="K109" s="441"/>
      <c r="L109" s="441"/>
      <c r="M109" s="441"/>
      <c r="N109" s="441"/>
      <c r="O109" s="38"/>
    </row>
    <row r="110" spans="2:15" ht="24" x14ac:dyDescent="0.15">
      <c r="C110" s="440"/>
      <c r="D110" s="440"/>
      <c r="E110" s="440"/>
      <c r="F110" s="440"/>
      <c r="G110" s="440"/>
      <c r="H110" s="440"/>
      <c r="J110" s="441"/>
      <c r="K110" s="441"/>
      <c r="L110" s="441"/>
      <c r="M110" s="441"/>
      <c r="N110" s="441"/>
      <c r="O110" s="38"/>
    </row>
    <row r="111" spans="2:15" ht="24" x14ac:dyDescent="0.15">
      <c r="C111" s="440"/>
      <c r="D111" s="440"/>
      <c r="E111" s="440"/>
      <c r="F111" s="440"/>
      <c r="G111" s="440"/>
      <c r="H111" s="440"/>
      <c r="J111" s="441"/>
      <c r="K111" s="441"/>
      <c r="L111" s="441"/>
      <c r="M111" s="441"/>
      <c r="N111" s="441"/>
      <c r="O111" s="38"/>
    </row>
    <row r="112" spans="2:15" ht="24" x14ac:dyDescent="0.15">
      <c r="C112" s="440"/>
      <c r="D112" s="440"/>
      <c r="E112" s="440"/>
      <c r="F112" s="440"/>
      <c r="G112" s="440"/>
      <c r="H112" s="440"/>
      <c r="J112" s="441"/>
      <c r="K112" s="441"/>
      <c r="L112" s="441"/>
      <c r="M112" s="441"/>
      <c r="N112" s="441"/>
      <c r="O112" s="38"/>
    </row>
    <row r="113" spans="3:15" ht="24" x14ac:dyDescent="0.15">
      <c r="C113" s="440"/>
      <c r="D113" s="440"/>
      <c r="E113" s="440"/>
      <c r="F113" s="440"/>
      <c r="G113" s="440"/>
      <c r="H113" s="440"/>
      <c r="J113" s="441"/>
      <c r="K113" s="441"/>
      <c r="L113" s="441"/>
      <c r="M113" s="441"/>
      <c r="N113" s="441"/>
      <c r="O113" s="38"/>
    </row>
    <row r="114" spans="3:15" ht="24" x14ac:dyDescent="0.15">
      <c r="C114" s="440"/>
      <c r="D114" s="440"/>
      <c r="E114" s="440"/>
      <c r="F114" s="440"/>
      <c r="G114" s="440"/>
      <c r="H114" s="440"/>
      <c r="J114" s="441"/>
      <c r="K114" s="441"/>
      <c r="L114" s="441"/>
      <c r="M114" s="441"/>
      <c r="N114" s="441"/>
      <c r="O114" s="38"/>
    </row>
    <row r="115" spans="3:15" ht="24" x14ac:dyDescent="0.15">
      <c r="C115" s="440"/>
      <c r="D115" s="440"/>
      <c r="E115" s="440"/>
      <c r="F115" s="440"/>
      <c r="G115" s="440"/>
      <c r="H115" s="440"/>
      <c r="J115" s="441"/>
      <c r="K115" s="441"/>
      <c r="L115" s="441"/>
      <c r="M115" s="441"/>
      <c r="N115" s="441"/>
      <c r="O115" s="38"/>
    </row>
    <row r="116" spans="3:15" ht="24" x14ac:dyDescent="0.15">
      <c r="C116" s="440"/>
      <c r="D116" s="440"/>
      <c r="E116" s="440"/>
      <c r="F116" s="440"/>
      <c r="G116" s="440"/>
      <c r="H116" s="440"/>
      <c r="J116" s="441"/>
      <c r="K116" s="441"/>
      <c r="L116" s="441"/>
      <c r="M116" s="441"/>
      <c r="N116" s="441"/>
      <c r="O116" s="38"/>
    </row>
    <row r="117" spans="3:15" ht="24" x14ac:dyDescent="0.15">
      <c r="C117" s="440"/>
      <c r="D117" s="440"/>
      <c r="E117" s="440"/>
      <c r="F117" s="440"/>
      <c r="G117" s="440"/>
      <c r="H117" s="440"/>
      <c r="J117" s="441"/>
      <c r="K117" s="441"/>
      <c r="L117" s="441"/>
      <c r="M117" s="441"/>
      <c r="N117" s="441"/>
      <c r="O117" s="38"/>
    </row>
    <row r="118" spans="3:15" ht="24" x14ac:dyDescent="0.15">
      <c r="C118" s="440"/>
      <c r="D118" s="440"/>
      <c r="E118" s="440"/>
      <c r="F118" s="440"/>
      <c r="G118" s="440"/>
      <c r="H118" s="440"/>
      <c r="J118" s="441"/>
      <c r="K118" s="441"/>
      <c r="L118" s="441"/>
      <c r="M118" s="441"/>
      <c r="N118" s="441"/>
      <c r="O118" s="38"/>
    </row>
    <row r="119" spans="3:15" ht="24" x14ac:dyDescent="0.15">
      <c r="C119" s="440"/>
      <c r="D119" s="440"/>
      <c r="E119" s="440"/>
      <c r="F119" s="440"/>
      <c r="G119" s="440"/>
      <c r="H119" s="440"/>
      <c r="J119" s="441"/>
      <c r="K119" s="441"/>
      <c r="L119" s="441"/>
      <c r="M119" s="441"/>
      <c r="N119" s="441"/>
      <c r="O119" s="38"/>
    </row>
    <row r="120" spans="3:15" ht="24" x14ac:dyDescent="0.15">
      <c r="C120" s="440"/>
      <c r="D120" s="440"/>
      <c r="E120" s="440"/>
      <c r="F120" s="440"/>
      <c r="G120" s="440"/>
      <c r="H120" s="440"/>
      <c r="J120" s="441"/>
      <c r="K120" s="441"/>
      <c r="L120" s="441"/>
      <c r="M120" s="441"/>
      <c r="N120" s="441"/>
      <c r="O120" s="38"/>
    </row>
    <row r="121" spans="3:15" ht="24" x14ac:dyDescent="0.15">
      <c r="C121" s="440"/>
      <c r="D121" s="440"/>
      <c r="E121" s="440"/>
      <c r="F121" s="440"/>
      <c r="G121" s="440"/>
      <c r="H121" s="440"/>
      <c r="J121" s="441"/>
      <c r="K121" s="441"/>
      <c r="L121" s="441"/>
      <c r="M121" s="441"/>
      <c r="N121" s="441"/>
      <c r="O121" s="38"/>
    </row>
    <row r="122" spans="3:15" ht="24" x14ac:dyDescent="0.15">
      <c r="C122" s="440"/>
      <c r="D122" s="440"/>
      <c r="E122" s="440"/>
      <c r="F122" s="440"/>
      <c r="G122" s="440"/>
      <c r="H122" s="440"/>
      <c r="J122" s="441"/>
      <c r="K122" s="441"/>
      <c r="L122" s="441"/>
      <c r="M122" s="441"/>
      <c r="N122" s="441"/>
      <c r="O122" s="38"/>
    </row>
    <row r="123" spans="3:15" ht="24" x14ac:dyDescent="0.15">
      <c r="C123" s="440"/>
      <c r="D123" s="440"/>
      <c r="E123" s="440"/>
      <c r="F123" s="440"/>
      <c r="G123" s="440"/>
      <c r="H123" s="440"/>
      <c r="J123" s="441"/>
      <c r="K123" s="441"/>
      <c r="L123" s="441"/>
      <c r="M123" s="441"/>
      <c r="N123" s="441"/>
      <c r="O123" s="38"/>
    </row>
    <row r="124" spans="3:15" ht="24" x14ac:dyDescent="0.15">
      <c r="C124" s="440"/>
      <c r="D124" s="440"/>
      <c r="E124" s="440"/>
      <c r="F124" s="440"/>
      <c r="G124" s="440"/>
      <c r="H124" s="440"/>
      <c r="J124" s="441"/>
      <c r="K124" s="441"/>
      <c r="L124" s="441"/>
      <c r="M124" s="441"/>
      <c r="N124" s="441"/>
      <c r="O124" s="38"/>
    </row>
    <row r="125" spans="3:15" ht="24" x14ac:dyDescent="0.15">
      <c r="C125" s="440"/>
      <c r="D125" s="440"/>
      <c r="E125" s="440"/>
      <c r="F125" s="440"/>
      <c r="G125" s="440"/>
      <c r="H125" s="440"/>
      <c r="J125" s="441"/>
      <c r="K125" s="441"/>
      <c r="L125" s="441"/>
      <c r="M125" s="441"/>
      <c r="N125" s="441"/>
      <c r="O125" s="38"/>
    </row>
    <row r="126" spans="3:15" ht="24" x14ac:dyDescent="0.15">
      <c r="C126" s="440"/>
      <c r="D126" s="440"/>
      <c r="E126" s="440"/>
      <c r="F126" s="440"/>
      <c r="G126" s="440"/>
      <c r="H126" s="440"/>
      <c r="J126" s="441"/>
      <c r="K126" s="441"/>
      <c r="L126" s="441"/>
      <c r="M126" s="441"/>
      <c r="N126" s="441"/>
      <c r="O126" s="38"/>
    </row>
    <row r="127" spans="3:15" ht="24" x14ac:dyDescent="0.15">
      <c r="C127" s="440"/>
      <c r="D127" s="440"/>
      <c r="E127" s="440"/>
      <c r="F127" s="440"/>
      <c r="G127" s="440"/>
      <c r="H127" s="440"/>
      <c r="J127" s="441"/>
      <c r="K127" s="441"/>
      <c r="L127" s="441"/>
      <c r="M127" s="441"/>
      <c r="N127" s="441"/>
      <c r="O127" s="38"/>
    </row>
    <row r="128" spans="3:15" ht="24" x14ac:dyDescent="0.15">
      <c r="C128" s="440"/>
      <c r="D128" s="440"/>
      <c r="E128" s="440"/>
      <c r="F128" s="440"/>
      <c r="G128" s="440"/>
      <c r="H128" s="440"/>
      <c r="J128" s="441"/>
      <c r="K128" s="441"/>
      <c r="L128" s="441"/>
      <c r="M128" s="441"/>
      <c r="N128" s="441"/>
      <c r="O128" s="38"/>
    </row>
    <row r="129" spans="3:15" ht="24" x14ac:dyDescent="0.15">
      <c r="C129" s="440"/>
      <c r="D129" s="440"/>
      <c r="E129" s="440"/>
      <c r="F129" s="440"/>
      <c r="G129" s="440"/>
      <c r="H129" s="440"/>
      <c r="J129" s="441"/>
      <c r="K129" s="441"/>
      <c r="L129" s="441"/>
      <c r="M129" s="441"/>
      <c r="N129" s="441"/>
      <c r="O129" s="38"/>
    </row>
    <row r="130" spans="3:15" ht="24" x14ac:dyDescent="0.15">
      <c r="C130" s="440"/>
      <c r="D130" s="440"/>
      <c r="E130" s="440"/>
      <c r="F130" s="440"/>
      <c r="G130" s="440"/>
      <c r="H130" s="440"/>
      <c r="J130" s="441"/>
      <c r="K130" s="441"/>
      <c r="L130" s="441"/>
      <c r="M130" s="441"/>
      <c r="N130" s="441"/>
      <c r="O130" s="38"/>
    </row>
    <row r="131" spans="3:15" ht="24" x14ac:dyDescent="0.15">
      <c r="C131" s="440"/>
      <c r="D131" s="440"/>
      <c r="E131" s="440"/>
      <c r="F131" s="440"/>
      <c r="G131" s="440"/>
      <c r="H131" s="440"/>
      <c r="J131" s="441"/>
      <c r="K131" s="441"/>
      <c r="L131" s="441"/>
      <c r="M131" s="441"/>
      <c r="N131" s="441"/>
      <c r="O131" s="38"/>
    </row>
    <row r="132" spans="3:15" ht="24" x14ac:dyDescent="0.15">
      <c r="C132" s="440"/>
      <c r="D132" s="440"/>
      <c r="E132" s="440"/>
      <c r="F132" s="440"/>
      <c r="G132" s="440"/>
      <c r="H132" s="440"/>
      <c r="J132" s="441"/>
      <c r="K132" s="441"/>
      <c r="L132" s="441"/>
      <c r="M132" s="441"/>
      <c r="N132" s="441"/>
      <c r="O132" s="38"/>
    </row>
    <row r="133" spans="3:15" ht="24" x14ac:dyDescent="0.15">
      <c r="C133" s="440"/>
      <c r="D133" s="440"/>
      <c r="E133" s="440"/>
      <c r="F133" s="440"/>
      <c r="G133" s="440"/>
      <c r="H133" s="440"/>
      <c r="J133" s="441"/>
      <c r="K133" s="441"/>
      <c r="L133" s="441"/>
      <c r="M133" s="441"/>
      <c r="N133" s="441"/>
      <c r="O133" s="38"/>
    </row>
    <row r="134" spans="3:15" ht="24" x14ac:dyDescent="0.15">
      <c r="C134" s="440"/>
      <c r="D134" s="440"/>
      <c r="E134" s="440"/>
      <c r="F134" s="440"/>
      <c r="G134" s="440"/>
      <c r="H134" s="440"/>
      <c r="J134" s="441"/>
      <c r="K134" s="441"/>
      <c r="L134" s="441"/>
      <c r="M134" s="441"/>
      <c r="N134" s="441"/>
      <c r="O134" s="38"/>
    </row>
    <row r="135" spans="3:15" ht="24" x14ac:dyDescent="0.15">
      <c r="C135" s="440"/>
      <c r="D135" s="440"/>
      <c r="E135" s="440"/>
      <c r="F135" s="440"/>
      <c r="G135" s="440"/>
      <c r="H135" s="440"/>
      <c r="J135" s="441"/>
      <c r="K135" s="441"/>
      <c r="L135" s="441"/>
      <c r="M135" s="441"/>
      <c r="N135" s="441"/>
      <c r="O135" s="38"/>
    </row>
    <row r="136" spans="3:15" ht="24" x14ac:dyDescent="0.15">
      <c r="C136" s="440"/>
      <c r="D136" s="440"/>
      <c r="E136" s="440"/>
      <c r="F136" s="440"/>
      <c r="G136" s="440"/>
      <c r="H136" s="440"/>
      <c r="J136" s="441"/>
      <c r="K136" s="441"/>
      <c r="L136" s="441"/>
      <c r="M136" s="441"/>
      <c r="N136" s="441"/>
      <c r="O136" s="38"/>
    </row>
    <row r="137" spans="3:15" ht="24" x14ac:dyDescent="0.15">
      <c r="C137" s="440"/>
      <c r="D137" s="440"/>
      <c r="E137" s="440"/>
      <c r="F137" s="440"/>
      <c r="G137" s="440"/>
      <c r="H137" s="440"/>
      <c r="J137" s="441"/>
      <c r="K137" s="441"/>
      <c r="L137" s="441"/>
      <c r="M137" s="441"/>
      <c r="N137" s="441"/>
      <c r="O137" s="38"/>
    </row>
    <row r="138" spans="3:15" ht="24" x14ac:dyDescent="0.15">
      <c r="C138" s="440"/>
      <c r="D138" s="440"/>
      <c r="E138" s="440"/>
      <c r="F138" s="440"/>
      <c r="G138" s="440"/>
      <c r="H138" s="440"/>
      <c r="J138" s="441"/>
      <c r="K138" s="441"/>
      <c r="L138" s="441"/>
      <c r="M138" s="441"/>
      <c r="N138" s="441"/>
      <c r="O138" s="38"/>
    </row>
    <row r="139" spans="3:15" ht="24" x14ac:dyDescent="0.15">
      <c r="C139" s="440"/>
      <c r="D139" s="440"/>
      <c r="E139" s="440"/>
      <c r="F139" s="440"/>
      <c r="G139" s="440"/>
      <c r="H139" s="440"/>
      <c r="J139" s="441"/>
      <c r="K139" s="441"/>
      <c r="L139" s="441"/>
      <c r="M139" s="441"/>
      <c r="N139" s="441"/>
      <c r="O139" s="38"/>
    </row>
    <row r="140" spans="3:15" ht="24" x14ac:dyDescent="0.15">
      <c r="C140" s="440"/>
      <c r="D140" s="440"/>
      <c r="E140" s="440"/>
      <c r="F140" s="440"/>
      <c r="G140" s="440"/>
      <c r="H140" s="440"/>
      <c r="J140" s="441"/>
      <c r="K140" s="441"/>
      <c r="L140" s="441"/>
      <c r="M140" s="441"/>
      <c r="N140" s="441"/>
      <c r="O140" s="38"/>
    </row>
    <row r="141" spans="3:15" ht="24" x14ac:dyDescent="0.15">
      <c r="C141" s="440"/>
      <c r="D141" s="440"/>
      <c r="E141" s="440"/>
      <c r="F141" s="440"/>
      <c r="G141" s="440"/>
      <c r="H141" s="440"/>
      <c r="J141" s="441"/>
      <c r="K141" s="441"/>
      <c r="L141" s="441"/>
      <c r="M141" s="441"/>
      <c r="N141" s="441"/>
      <c r="O141" s="38"/>
    </row>
    <row r="142" spans="3:15" ht="24" x14ac:dyDescent="0.15">
      <c r="C142" s="440"/>
      <c r="D142" s="440"/>
      <c r="E142" s="440"/>
      <c r="F142" s="440"/>
      <c r="G142" s="440"/>
      <c r="H142" s="440"/>
      <c r="J142" s="441"/>
      <c r="K142" s="441"/>
      <c r="L142" s="441"/>
      <c r="M142" s="441"/>
      <c r="N142" s="441"/>
      <c r="O142" s="38"/>
    </row>
    <row r="143" spans="3:15" ht="24" x14ac:dyDescent="0.15">
      <c r="C143" s="440"/>
      <c r="D143" s="440"/>
      <c r="E143" s="440"/>
      <c r="F143" s="440"/>
      <c r="G143" s="440"/>
      <c r="H143" s="440"/>
      <c r="J143" s="441"/>
      <c r="K143" s="441"/>
      <c r="L143" s="441"/>
      <c r="M143" s="441"/>
      <c r="N143" s="441"/>
      <c r="O143" s="38"/>
    </row>
    <row r="144" spans="3:15" ht="24" x14ac:dyDescent="0.15">
      <c r="C144" s="440"/>
      <c r="D144" s="440"/>
      <c r="E144" s="440"/>
      <c r="F144" s="440"/>
      <c r="G144" s="440"/>
      <c r="H144" s="440"/>
      <c r="J144" s="441"/>
      <c r="K144" s="441"/>
      <c r="L144" s="441"/>
      <c r="M144" s="441"/>
      <c r="N144" s="441"/>
      <c r="O144" s="38"/>
    </row>
    <row r="145" spans="3:15" ht="24" x14ac:dyDescent="0.15">
      <c r="C145" s="440"/>
      <c r="D145" s="440"/>
      <c r="E145" s="440"/>
      <c r="F145" s="440"/>
      <c r="G145" s="440"/>
      <c r="H145" s="440"/>
      <c r="J145" s="441"/>
      <c r="K145" s="441"/>
      <c r="L145" s="441"/>
      <c r="M145" s="441"/>
      <c r="N145" s="441"/>
      <c r="O145" s="38"/>
    </row>
    <row r="146" spans="3:15" ht="24" x14ac:dyDescent="0.15">
      <c r="C146" s="440"/>
      <c r="D146" s="440"/>
      <c r="E146" s="440"/>
      <c r="F146" s="440"/>
      <c r="G146" s="440"/>
      <c r="H146" s="440"/>
      <c r="J146" s="441"/>
      <c r="K146" s="441"/>
      <c r="L146" s="441"/>
      <c r="M146" s="441"/>
      <c r="N146" s="441"/>
      <c r="O146" s="38"/>
    </row>
    <row r="147" spans="3:15" ht="24" x14ac:dyDescent="0.15">
      <c r="C147" s="440"/>
      <c r="D147" s="440"/>
      <c r="E147" s="440"/>
      <c r="F147" s="440"/>
      <c r="G147" s="440"/>
      <c r="H147" s="440"/>
      <c r="J147" s="441"/>
      <c r="K147" s="441"/>
      <c r="L147" s="441"/>
      <c r="M147" s="441"/>
      <c r="N147" s="441"/>
      <c r="O147" s="38"/>
    </row>
    <row r="148" spans="3:15" ht="24" x14ac:dyDescent="0.15">
      <c r="C148" s="440"/>
      <c r="D148" s="440"/>
      <c r="E148" s="440"/>
      <c r="F148" s="440"/>
      <c r="G148" s="440"/>
      <c r="H148" s="440"/>
      <c r="J148" s="441"/>
      <c r="K148" s="441"/>
      <c r="L148" s="441"/>
      <c r="M148" s="441"/>
      <c r="N148" s="441"/>
      <c r="O148" s="38"/>
    </row>
    <row r="149" spans="3:15" ht="24" x14ac:dyDescent="0.15">
      <c r="C149" s="440"/>
      <c r="D149" s="440"/>
      <c r="E149" s="440"/>
      <c r="F149" s="440"/>
      <c r="G149" s="440"/>
      <c r="H149" s="440"/>
      <c r="J149" s="441"/>
      <c r="K149" s="441"/>
      <c r="L149" s="441"/>
      <c r="M149" s="441"/>
      <c r="N149" s="441"/>
      <c r="O149" s="38"/>
    </row>
    <row r="150" spans="3:15" ht="24" x14ac:dyDescent="0.15">
      <c r="C150" s="440"/>
      <c r="D150" s="440"/>
      <c r="E150" s="440"/>
      <c r="F150" s="440"/>
      <c r="G150" s="440"/>
      <c r="H150" s="440"/>
      <c r="J150" s="441"/>
      <c r="K150" s="441"/>
      <c r="L150" s="441"/>
      <c r="M150" s="441"/>
      <c r="N150" s="441"/>
      <c r="O150" s="38"/>
    </row>
    <row r="151" spans="3:15" ht="24" x14ac:dyDescent="0.15">
      <c r="C151" s="440"/>
      <c r="D151" s="440"/>
      <c r="E151" s="440"/>
      <c r="F151" s="440"/>
      <c r="G151" s="440"/>
      <c r="H151" s="440"/>
      <c r="J151" s="441"/>
      <c r="K151" s="441"/>
      <c r="L151" s="441"/>
      <c r="M151" s="441"/>
      <c r="N151" s="441"/>
      <c r="O151" s="38"/>
    </row>
    <row r="152" spans="3:15" ht="24" x14ac:dyDescent="0.15">
      <c r="C152" s="440"/>
      <c r="D152" s="440"/>
      <c r="E152" s="440"/>
      <c r="F152" s="440"/>
      <c r="G152" s="440"/>
      <c r="H152" s="440"/>
      <c r="J152" s="441"/>
      <c r="K152" s="441"/>
      <c r="L152" s="441"/>
      <c r="M152" s="441"/>
      <c r="N152" s="441"/>
      <c r="O152" s="38"/>
    </row>
    <row r="153" spans="3:15" ht="24" x14ac:dyDescent="0.15">
      <c r="C153" s="440"/>
      <c r="D153" s="440"/>
      <c r="E153" s="440"/>
      <c r="F153" s="440"/>
      <c r="G153" s="440"/>
      <c r="H153" s="440"/>
      <c r="J153" s="441"/>
      <c r="K153" s="441"/>
      <c r="L153" s="441"/>
      <c r="M153" s="441"/>
      <c r="N153" s="441"/>
      <c r="O153" s="38"/>
    </row>
    <row r="154" spans="3:15" ht="24" x14ac:dyDescent="0.15">
      <c r="C154" s="440"/>
      <c r="D154" s="440"/>
      <c r="E154" s="440"/>
      <c r="F154" s="440"/>
      <c r="G154" s="440"/>
      <c r="H154" s="440"/>
      <c r="J154" s="441"/>
      <c r="K154" s="441"/>
      <c r="L154" s="441"/>
      <c r="M154" s="441"/>
      <c r="N154" s="441"/>
      <c r="O154" s="38"/>
    </row>
    <row r="155" spans="3:15" ht="24" x14ac:dyDescent="0.15">
      <c r="C155" s="440"/>
      <c r="D155" s="440"/>
      <c r="E155" s="440"/>
      <c r="F155" s="440"/>
      <c r="G155" s="440"/>
      <c r="H155" s="440"/>
      <c r="J155" s="441"/>
      <c r="K155" s="441"/>
      <c r="L155" s="441"/>
      <c r="M155" s="441"/>
      <c r="N155" s="441"/>
      <c r="O155" s="38"/>
    </row>
    <row r="156" spans="3:15" ht="24" x14ac:dyDescent="0.15">
      <c r="C156" s="440"/>
      <c r="D156" s="440"/>
      <c r="E156" s="440"/>
      <c r="F156" s="440"/>
      <c r="G156" s="440"/>
      <c r="H156" s="440"/>
      <c r="J156" s="441"/>
      <c r="K156" s="441"/>
      <c r="L156" s="441"/>
      <c r="M156" s="441"/>
      <c r="N156" s="441"/>
      <c r="O156" s="38"/>
    </row>
    <row r="157" spans="3:15" ht="24" x14ac:dyDescent="0.15">
      <c r="C157" s="440"/>
      <c r="D157" s="440"/>
      <c r="E157" s="440"/>
      <c r="F157" s="440"/>
      <c r="G157" s="440"/>
      <c r="H157" s="440"/>
      <c r="J157" s="441"/>
      <c r="K157" s="441"/>
      <c r="L157" s="441"/>
      <c r="M157" s="441"/>
      <c r="N157" s="441"/>
      <c r="O157" s="38"/>
    </row>
    <row r="158" spans="3:15" ht="24" x14ac:dyDescent="0.15">
      <c r="C158" s="440"/>
      <c r="D158" s="440"/>
      <c r="E158" s="440"/>
      <c r="F158" s="440"/>
      <c r="G158" s="440"/>
      <c r="H158" s="440"/>
      <c r="J158" s="441"/>
      <c r="K158" s="441"/>
      <c r="L158" s="441"/>
      <c r="M158" s="441"/>
      <c r="N158" s="441"/>
      <c r="O158" s="38"/>
    </row>
    <row r="159" spans="3:15" ht="24" x14ac:dyDescent="0.15">
      <c r="C159" s="440"/>
      <c r="D159" s="440"/>
      <c r="E159" s="440"/>
      <c r="F159" s="440"/>
      <c r="G159" s="440"/>
      <c r="H159" s="440"/>
      <c r="J159" s="441"/>
      <c r="K159" s="441"/>
      <c r="L159" s="441"/>
      <c r="M159" s="441"/>
      <c r="N159" s="441"/>
      <c r="O159" s="38"/>
    </row>
    <row r="160" spans="3:15" ht="24" x14ac:dyDescent="0.15">
      <c r="C160" s="440"/>
      <c r="D160" s="440"/>
      <c r="E160" s="440"/>
      <c r="F160" s="440"/>
      <c r="G160" s="440"/>
      <c r="H160" s="440"/>
      <c r="J160" s="441"/>
      <c r="K160" s="441"/>
      <c r="L160" s="441"/>
      <c r="M160" s="441"/>
      <c r="N160" s="441"/>
      <c r="O160" s="38"/>
    </row>
    <row r="161" spans="3:15" ht="24" x14ac:dyDescent="0.15">
      <c r="C161" s="440"/>
      <c r="D161" s="440"/>
      <c r="E161" s="440"/>
      <c r="F161" s="440"/>
      <c r="G161" s="440"/>
      <c r="H161" s="440"/>
      <c r="J161" s="441"/>
      <c r="K161" s="441"/>
      <c r="L161" s="441"/>
      <c r="M161" s="441"/>
      <c r="N161" s="441"/>
      <c r="O161" s="38"/>
    </row>
    <row r="162" spans="3:15" ht="24" x14ac:dyDescent="0.15">
      <c r="C162" s="440"/>
      <c r="D162" s="440"/>
      <c r="E162" s="440"/>
      <c r="F162" s="440"/>
      <c r="G162" s="440"/>
      <c r="H162" s="440"/>
      <c r="J162" s="441"/>
      <c r="K162" s="441"/>
      <c r="L162" s="441"/>
      <c r="M162" s="441"/>
      <c r="N162" s="441"/>
      <c r="O162" s="38"/>
    </row>
    <row r="163" spans="3:15" ht="24" x14ac:dyDescent="0.15">
      <c r="C163" s="440"/>
      <c r="D163" s="440"/>
      <c r="E163" s="440"/>
      <c r="F163" s="440"/>
      <c r="G163" s="440"/>
      <c r="H163" s="440"/>
      <c r="J163" s="441"/>
      <c r="K163" s="441"/>
      <c r="L163" s="441"/>
      <c r="M163" s="441"/>
      <c r="N163" s="441"/>
      <c r="O163" s="38"/>
    </row>
    <row r="164" spans="3:15" ht="6.75" customHeight="1" x14ac:dyDescent="0.15">
      <c r="C164" s="440"/>
      <c r="D164" s="440"/>
      <c r="E164" s="440"/>
      <c r="F164" s="440"/>
      <c r="G164" s="440"/>
      <c r="H164" s="440"/>
      <c r="J164" s="441"/>
      <c r="K164" s="441"/>
      <c r="L164" s="441"/>
      <c r="M164" s="441"/>
      <c r="N164" s="441"/>
      <c r="O164" s="38"/>
    </row>
    <row r="165" spans="3:15" ht="24" hidden="1" x14ac:dyDescent="0.15">
      <c r="C165" s="440"/>
      <c r="D165" s="440"/>
      <c r="E165" s="440"/>
      <c r="F165" s="440"/>
      <c r="G165" s="440"/>
      <c r="H165" s="440"/>
      <c r="J165" s="441"/>
      <c r="K165" s="441"/>
      <c r="L165" s="441"/>
      <c r="M165" s="441"/>
      <c r="N165" s="441"/>
      <c r="O165" s="38"/>
    </row>
    <row r="166" spans="3:15" ht="24" hidden="1" x14ac:dyDescent="0.15">
      <c r="C166" s="440"/>
      <c r="D166" s="440"/>
      <c r="E166" s="440"/>
      <c r="F166" s="440"/>
      <c r="G166" s="440"/>
      <c r="H166" s="440"/>
      <c r="J166" s="441"/>
      <c r="K166" s="441"/>
      <c r="L166" s="441"/>
      <c r="M166" s="441"/>
      <c r="N166" s="441"/>
      <c r="O166" s="38"/>
    </row>
    <row r="167" spans="3:15" ht="24" hidden="1" x14ac:dyDescent="0.15">
      <c r="C167" s="440"/>
      <c r="D167" s="440"/>
      <c r="E167" s="440"/>
      <c r="F167" s="440"/>
      <c r="G167" s="440"/>
      <c r="H167" s="440"/>
      <c r="J167" s="441"/>
      <c r="K167" s="441"/>
      <c r="L167" s="441"/>
      <c r="M167" s="441"/>
      <c r="N167" s="441"/>
      <c r="O167" s="38"/>
    </row>
    <row r="168" spans="3:15" ht="24" hidden="1" x14ac:dyDescent="0.15">
      <c r="C168" s="440"/>
      <c r="D168" s="440"/>
      <c r="E168" s="440"/>
      <c r="F168" s="440"/>
      <c r="G168" s="440"/>
      <c r="H168" s="440"/>
      <c r="J168" s="441"/>
      <c r="K168" s="441"/>
      <c r="L168" s="441"/>
      <c r="M168" s="441"/>
      <c r="N168" s="441"/>
      <c r="O168" s="38"/>
    </row>
    <row r="169" spans="3:15" ht="24" hidden="1" x14ac:dyDescent="0.15">
      <c r="C169" s="440"/>
      <c r="D169" s="440"/>
      <c r="E169" s="440"/>
      <c r="F169" s="440"/>
      <c r="G169" s="440"/>
      <c r="H169" s="440"/>
      <c r="J169" s="441"/>
      <c r="K169" s="441"/>
      <c r="L169" s="441"/>
      <c r="M169" s="441"/>
      <c r="N169" s="441"/>
      <c r="O169" s="38"/>
    </row>
    <row r="170" spans="3:15" ht="24" hidden="1" x14ac:dyDescent="0.15">
      <c r="C170" s="440"/>
      <c r="D170" s="440"/>
      <c r="E170" s="440"/>
      <c r="F170" s="440"/>
      <c r="G170" s="440"/>
      <c r="H170" s="440"/>
      <c r="J170" s="441"/>
      <c r="K170" s="441"/>
      <c r="L170" s="441"/>
      <c r="M170" s="441"/>
      <c r="N170" s="441"/>
      <c r="O170" s="38"/>
    </row>
    <row r="171" spans="3:15" ht="24" x14ac:dyDescent="0.15">
      <c r="C171" s="440"/>
      <c r="D171" s="440"/>
      <c r="E171" s="440"/>
      <c r="F171" s="440"/>
      <c r="G171" s="440"/>
      <c r="H171" s="440"/>
      <c r="J171" s="441"/>
      <c r="K171" s="441"/>
      <c r="L171" s="441"/>
      <c r="M171" s="441"/>
      <c r="N171" s="441"/>
      <c r="O171" s="38"/>
    </row>
    <row r="172" spans="3:15" ht="24" x14ac:dyDescent="0.15">
      <c r="C172" s="440"/>
      <c r="D172" s="440"/>
      <c r="E172" s="440"/>
      <c r="F172" s="440"/>
      <c r="G172" s="440"/>
      <c r="H172" s="440"/>
      <c r="J172" s="441"/>
      <c r="K172" s="441"/>
      <c r="L172" s="441"/>
      <c r="M172" s="441"/>
      <c r="N172" s="441"/>
      <c r="O172" s="38"/>
    </row>
    <row r="173" spans="3:15" ht="24" x14ac:dyDescent="0.15">
      <c r="C173" s="440"/>
      <c r="D173" s="440"/>
      <c r="E173" s="440"/>
      <c r="F173" s="440"/>
      <c r="G173" s="440"/>
      <c r="H173" s="440"/>
      <c r="J173" s="441"/>
      <c r="K173" s="441"/>
      <c r="L173" s="441"/>
      <c r="M173" s="441"/>
      <c r="N173" s="441"/>
      <c r="O173" s="38"/>
    </row>
    <row r="174" spans="3:15" ht="24" x14ac:dyDescent="0.15">
      <c r="C174" s="440"/>
      <c r="D174" s="440"/>
      <c r="E174" s="440"/>
      <c r="F174" s="440"/>
      <c r="G174" s="440"/>
      <c r="H174" s="440"/>
      <c r="J174" s="441"/>
      <c r="K174" s="441"/>
      <c r="L174" s="441"/>
      <c r="M174" s="441"/>
      <c r="N174" s="441"/>
      <c r="O174" s="38"/>
    </row>
    <row r="175" spans="3:15" ht="24" x14ac:dyDescent="0.15">
      <c r="C175" s="440"/>
      <c r="D175" s="440"/>
      <c r="E175" s="440"/>
      <c r="F175" s="440"/>
      <c r="G175" s="440"/>
      <c r="H175" s="440"/>
      <c r="J175" s="441"/>
      <c r="K175" s="441"/>
      <c r="L175" s="441"/>
      <c r="M175" s="441"/>
      <c r="N175" s="441"/>
      <c r="O175" s="38"/>
    </row>
    <row r="176" spans="3:15" ht="24" x14ac:dyDescent="0.15">
      <c r="C176" s="440"/>
      <c r="D176" s="440"/>
      <c r="E176" s="440"/>
      <c r="F176" s="440"/>
      <c r="G176" s="440"/>
      <c r="H176" s="440"/>
      <c r="J176" s="441"/>
      <c r="K176" s="441"/>
      <c r="L176" s="441"/>
      <c r="M176" s="441"/>
      <c r="N176" s="441"/>
      <c r="O176" s="38"/>
    </row>
    <row r="177" spans="3:15" ht="24" x14ac:dyDescent="0.15">
      <c r="C177" s="440"/>
      <c r="D177" s="440"/>
      <c r="E177" s="440"/>
      <c r="F177" s="440"/>
      <c r="G177" s="440"/>
      <c r="H177" s="440"/>
      <c r="J177" s="441"/>
      <c r="K177" s="441"/>
      <c r="L177" s="441"/>
      <c r="M177" s="441"/>
      <c r="N177" s="441"/>
      <c r="O177" s="38"/>
    </row>
    <row r="178" spans="3:15" ht="24" x14ac:dyDescent="0.15">
      <c r="C178" s="440"/>
      <c r="D178" s="440"/>
      <c r="E178" s="440"/>
      <c r="F178" s="440"/>
      <c r="G178" s="440"/>
      <c r="H178" s="440"/>
      <c r="J178" s="441"/>
      <c r="K178" s="441"/>
      <c r="L178" s="441"/>
      <c r="M178" s="441"/>
      <c r="N178" s="441"/>
      <c r="O178" s="38"/>
    </row>
    <row r="179" spans="3:15" ht="24" x14ac:dyDescent="0.15">
      <c r="C179" s="440"/>
      <c r="D179" s="440"/>
      <c r="E179" s="440"/>
      <c r="F179" s="440"/>
      <c r="G179" s="440"/>
      <c r="H179" s="440"/>
      <c r="J179" s="441"/>
      <c r="K179" s="441"/>
      <c r="L179" s="441"/>
      <c r="M179" s="441"/>
      <c r="N179" s="441"/>
      <c r="O179" s="38"/>
    </row>
    <row r="180" spans="3:15" ht="24" x14ac:dyDescent="0.15">
      <c r="C180" s="440"/>
      <c r="D180" s="440"/>
      <c r="E180" s="440"/>
      <c r="F180" s="440"/>
      <c r="G180" s="440"/>
      <c r="H180" s="440"/>
      <c r="J180" s="441"/>
      <c r="K180" s="441"/>
      <c r="L180" s="441"/>
      <c r="M180" s="441"/>
      <c r="N180" s="441"/>
      <c r="O180" s="38"/>
    </row>
    <row r="181" spans="3:15" ht="24" x14ac:dyDescent="0.15">
      <c r="C181" s="440"/>
      <c r="D181" s="440"/>
      <c r="E181" s="440"/>
      <c r="F181" s="440"/>
      <c r="G181" s="440"/>
      <c r="H181" s="440"/>
      <c r="J181" s="441"/>
      <c r="K181" s="441"/>
      <c r="L181" s="441"/>
      <c r="M181" s="441"/>
      <c r="N181" s="441"/>
      <c r="O181" s="38"/>
    </row>
    <row r="182" spans="3:15" ht="24" x14ac:dyDescent="0.15">
      <c r="C182" s="440"/>
      <c r="D182" s="440"/>
      <c r="E182" s="440"/>
      <c r="F182" s="440"/>
      <c r="G182" s="440"/>
      <c r="H182" s="440"/>
      <c r="J182" s="441"/>
      <c r="K182" s="441"/>
      <c r="L182" s="441"/>
      <c r="M182" s="441"/>
      <c r="N182" s="441"/>
      <c r="O182" s="38"/>
    </row>
    <row r="183" spans="3:15" ht="24" x14ac:dyDescent="0.15">
      <c r="C183" s="440"/>
      <c r="D183" s="440"/>
      <c r="E183" s="440"/>
      <c r="F183" s="440"/>
      <c r="G183" s="440"/>
      <c r="H183" s="440"/>
      <c r="J183" s="441"/>
      <c r="K183" s="441"/>
      <c r="L183" s="441"/>
      <c r="M183" s="441"/>
      <c r="N183" s="441"/>
      <c r="O183" s="38"/>
    </row>
    <row r="184" spans="3:15" ht="24" x14ac:dyDescent="0.15">
      <c r="C184" s="440"/>
      <c r="D184" s="440"/>
      <c r="E184" s="440"/>
      <c r="F184" s="440"/>
      <c r="G184" s="440"/>
      <c r="H184" s="440"/>
      <c r="J184" s="441"/>
      <c r="K184" s="441"/>
      <c r="L184" s="441"/>
      <c r="M184" s="441"/>
      <c r="N184" s="441"/>
      <c r="O184" s="38"/>
    </row>
    <row r="185" spans="3:15" ht="24" x14ac:dyDescent="0.15">
      <c r="C185" s="440"/>
      <c r="D185" s="440"/>
      <c r="E185" s="440"/>
      <c r="F185" s="440"/>
      <c r="G185" s="440"/>
      <c r="H185" s="440"/>
      <c r="J185" s="441"/>
      <c r="K185" s="441"/>
      <c r="L185" s="441"/>
      <c r="M185" s="441"/>
      <c r="N185" s="441"/>
      <c r="O185" s="38"/>
    </row>
    <row r="186" spans="3:15" ht="24" x14ac:dyDescent="0.15">
      <c r="C186" s="440"/>
      <c r="D186" s="440"/>
      <c r="E186" s="440"/>
      <c r="F186" s="440"/>
      <c r="G186" s="440"/>
      <c r="H186" s="440"/>
      <c r="J186" s="441"/>
      <c r="K186" s="441"/>
      <c r="L186" s="441"/>
      <c r="M186" s="441"/>
      <c r="N186" s="441"/>
      <c r="O186" s="38"/>
    </row>
    <row r="187" spans="3:15" ht="24" x14ac:dyDescent="0.15">
      <c r="C187" s="440"/>
      <c r="D187" s="440"/>
      <c r="E187" s="440"/>
      <c r="F187" s="440"/>
      <c r="G187" s="440"/>
      <c r="H187" s="440"/>
      <c r="J187" s="441"/>
      <c r="K187" s="441"/>
      <c r="L187" s="441"/>
      <c r="M187" s="441"/>
      <c r="N187" s="441"/>
      <c r="O187" s="38"/>
    </row>
    <row r="188" spans="3:15" ht="24" x14ac:dyDescent="0.15">
      <c r="C188" s="440"/>
      <c r="D188" s="440"/>
      <c r="E188" s="440"/>
      <c r="F188" s="440"/>
      <c r="G188" s="440"/>
      <c r="H188" s="440"/>
      <c r="J188" s="441"/>
      <c r="K188" s="441"/>
      <c r="L188" s="441"/>
      <c r="M188" s="441"/>
      <c r="N188" s="441"/>
      <c r="O188" s="38"/>
    </row>
    <row r="189" spans="3:15" ht="22.5" x14ac:dyDescent="0.2">
      <c r="J189" s="441"/>
      <c r="K189" s="441"/>
      <c r="L189" s="441"/>
      <c r="M189" s="441"/>
      <c r="N189" s="441"/>
      <c r="O189" s="38"/>
    </row>
  </sheetData>
  <sheetProtection selectLockedCells="1" selectUnlockedCells="1"/>
  <mergeCells count="318">
    <mergeCell ref="C59:F59"/>
    <mergeCell ref="C55:D55"/>
    <mergeCell ref="F55:G55"/>
    <mergeCell ref="K55:M55"/>
    <mergeCell ref="O55:P55"/>
    <mergeCell ref="J59:N59"/>
    <mergeCell ref="J96:N96"/>
    <mergeCell ref="J95:N95"/>
    <mergeCell ref="J90:O90"/>
    <mergeCell ref="J89:O89"/>
    <mergeCell ref="J87:O87"/>
    <mergeCell ref="J88:O88"/>
    <mergeCell ref="J85:O85"/>
    <mergeCell ref="J86:O86"/>
    <mergeCell ref="C56:D56"/>
    <mergeCell ref="F56:G56"/>
    <mergeCell ref="K56:M56"/>
    <mergeCell ref="O56:P56"/>
    <mergeCell ref="C57:D57"/>
    <mergeCell ref="F57:G57"/>
    <mergeCell ref="C104:H104"/>
    <mergeCell ref="C102:H102"/>
    <mergeCell ref="C103:H103"/>
    <mergeCell ref="J98:N98"/>
    <mergeCell ref="J99:N99"/>
    <mergeCell ref="C105:H105"/>
    <mergeCell ref="J91:O91"/>
    <mergeCell ref="J92:O92"/>
    <mergeCell ref="J94:N94"/>
    <mergeCell ref="J93:N93"/>
    <mergeCell ref="J102:N102"/>
    <mergeCell ref="J100:N100"/>
    <mergeCell ref="J103:N103"/>
    <mergeCell ref="J101:N101"/>
    <mergeCell ref="J104:N104"/>
    <mergeCell ref="C101:H101"/>
    <mergeCell ref="C119:H119"/>
    <mergeCell ref="J108:N108"/>
    <mergeCell ref="J110:N110"/>
    <mergeCell ref="J109:N109"/>
    <mergeCell ref="J107:N107"/>
    <mergeCell ref="J105:N105"/>
    <mergeCell ref="C106:H106"/>
    <mergeCell ref="C116:H116"/>
    <mergeCell ref="C111:H111"/>
    <mergeCell ref="C110:H110"/>
    <mergeCell ref="J106:N106"/>
    <mergeCell ref="J112:N112"/>
    <mergeCell ref="J111:N111"/>
    <mergeCell ref="C108:H108"/>
    <mergeCell ref="C118:H118"/>
    <mergeCell ref="C112:H112"/>
    <mergeCell ref="C109:H109"/>
    <mergeCell ref="C107:H107"/>
    <mergeCell ref="J121:N121"/>
    <mergeCell ref="J117:N117"/>
    <mergeCell ref="J113:N113"/>
    <mergeCell ref="J116:N116"/>
    <mergeCell ref="J127:N127"/>
    <mergeCell ref="C124:H124"/>
    <mergeCell ref="C123:H123"/>
    <mergeCell ref="C121:H121"/>
    <mergeCell ref="J122:N122"/>
    <mergeCell ref="J120:N120"/>
    <mergeCell ref="C114:H114"/>
    <mergeCell ref="C113:H113"/>
    <mergeCell ref="C126:H126"/>
    <mergeCell ref="J123:N123"/>
    <mergeCell ref="C117:H117"/>
    <mergeCell ref="J115:N115"/>
    <mergeCell ref="C115:H115"/>
    <mergeCell ref="J118:N118"/>
    <mergeCell ref="C122:H122"/>
    <mergeCell ref="J114:N114"/>
    <mergeCell ref="J119:N119"/>
    <mergeCell ref="C120:H120"/>
    <mergeCell ref="J126:N126"/>
    <mergeCell ref="C127:H127"/>
    <mergeCell ref="J142:N142"/>
    <mergeCell ref="C143:H143"/>
    <mergeCell ref="C142:H142"/>
    <mergeCell ref="C144:H144"/>
    <mergeCell ref="C130:H130"/>
    <mergeCell ref="C132:H132"/>
    <mergeCell ref="J128:N128"/>
    <mergeCell ref="J125:N125"/>
    <mergeCell ref="J124:N124"/>
    <mergeCell ref="C125:H125"/>
    <mergeCell ref="J129:N129"/>
    <mergeCell ref="J141:N141"/>
    <mergeCell ref="J137:N137"/>
    <mergeCell ref="J140:N140"/>
    <mergeCell ref="J132:N132"/>
    <mergeCell ref="J131:N131"/>
    <mergeCell ref="J134:N134"/>
    <mergeCell ref="C131:H131"/>
    <mergeCell ref="J136:N136"/>
    <mergeCell ref="J139:N139"/>
    <mergeCell ref="J135:N135"/>
    <mergeCell ref="C136:H136"/>
    <mergeCell ref="J138:N138"/>
    <mergeCell ref="C138:H138"/>
    <mergeCell ref="C129:H129"/>
    <mergeCell ref="C128:H128"/>
    <mergeCell ref="C140:H140"/>
    <mergeCell ref="J130:N130"/>
    <mergeCell ref="C156:H156"/>
    <mergeCell ref="C154:H154"/>
    <mergeCell ref="C155:H155"/>
    <mergeCell ref="C145:H145"/>
    <mergeCell ref="J146:N146"/>
    <mergeCell ref="C151:H151"/>
    <mergeCell ref="C146:H146"/>
    <mergeCell ref="J133:N133"/>
    <mergeCell ref="C141:H141"/>
    <mergeCell ref="C135:H135"/>
    <mergeCell ref="C139:H139"/>
    <mergeCell ref="C133:H133"/>
    <mergeCell ref="C134:H134"/>
    <mergeCell ref="C137:H137"/>
    <mergeCell ref="J147:N147"/>
    <mergeCell ref="J145:N145"/>
    <mergeCell ref="J144:N144"/>
    <mergeCell ref="J143:N143"/>
    <mergeCell ref="J155:N155"/>
    <mergeCell ref="J150:N150"/>
    <mergeCell ref="C147:H147"/>
    <mergeCell ref="C150:H150"/>
    <mergeCell ref="C148:H148"/>
    <mergeCell ref="J149:N149"/>
    <mergeCell ref="J153:N153"/>
    <mergeCell ref="J189:N189"/>
    <mergeCell ref="J169:N169"/>
    <mergeCell ref="J175:N175"/>
    <mergeCell ref="J159:N159"/>
    <mergeCell ref="J181:N181"/>
    <mergeCell ref="J182:N182"/>
    <mergeCell ref="J183:N183"/>
    <mergeCell ref="J184:N184"/>
    <mergeCell ref="J185:N185"/>
    <mergeCell ref="J186:N186"/>
    <mergeCell ref="J173:N173"/>
    <mergeCell ref="J161:N161"/>
    <mergeCell ref="J179:N179"/>
    <mergeCell ref="J176:N176"/>
    <mergeCell ref="J167:N167"/>
    <mergeCell ref="J174:N174"/>
    <mergeCell ref="J178:N178"/>
    <mergeCell ref="J165:N165"/>
    <mergeCell ref="J177:N177"/>
    <mergeCell ref="J163:N163"/>
    <mergeCell ref="J164:N164"/>
    <mergeCell ref="J188:N188"/>
    <mergeCell ref="J154:N154"/>
    <mergeCell ref="C153:H153"/>
    <mergeCell ref="J148:N148"/>
    <mergeCell ref="C188:H188"/>
    <mergeCell ref="J160:N160"/>
    <mergeCell ref="C168:H168"/>
    <mergeCell ref="C166:H166"/>
    <mergeCell ref="C187:H187"/>
    <mergeCell ref="C184:H184"/>
    <mergeCell ref="C180:H180"/>
    <mergeCell ref="C181:H181"/>
    <mergeCell ref="C186:H186"/>
    <mergeCell ref="J172:N172"/>
    <mergeCell ref="C182:H182"/>
    <mergeCell ref="C178:H178"/>
    <mergeCell ref="C165:H165"/>
    <mergeCell ref="C167:H167"/>
    <mergeCell ref="C172:H172"/>
    <mergeCell ref="C171:H171"/>
    <mergeCell ref="C170:H170"/>
    <mergeCell ref="C163:H163"/>
    <mergeCell ref="C169:H169"/>
    <mergeCell ref="C177:H177"/>
    <mergeCell ref="J166:N166"/>
    <mergeCell ref="J168:N168"/>
    <mergeCell ref="J187:N187"/>
    <mergeCell ref="J180:N180"/>
    <mergeCell ref="C157:H157"/>
    <mergeCell ref="C149:H149"/>
    <mergeCell ref="J152:N152"/>
    <mergeCell ref="C152:H152"/>
    <mergeCell ref="J171:N171"/>
    <mergeCell ref="C183:H183"/>
    <mergeCell ref="C173:H173"/>
    <mergeCell ref="C185:H185"/>
    <mergeCell ref="C174:H174"/>
    <mergeCell ref="C179:H179"/>
    <mergeCell ref="J156:N156"/>
    <mergeCell ref="J151:N151"/>
    <mergeCell ref="C175:H175"/>
    <mergeCell ref="C176:H176"/>
    <mergeCell ref="C164:H164"/>
    <mergeCell ref="C158:H158"/>
    <mergeCell ref="C159:H159"/>
    <mergeCell ref="C162:H162"/>
    <mergeCell ref="C161:H161"/>
    <mergeCell ref="C160:H160"/>
    <mergeCell ref="J158:N158"/>
    <mergeCell ref="J157:N157"/>
    <mergeCell ref="J162:N162"/>
    <mergeCell ref="J170:N170"/>
    <mergeCell ref="B4:B7"/>
    <mergeCell ref="J6:K6"/>
    <mergeCell ref="B10:B24"/>
    <mergeCell ref="C60:F60"/>
    <mergeCell ref="J36:L36"/>
    <mergeCell ref="J37:L37"/>
    <mergeCell ref="J38:L38"/>
    <mergeCell ref="C54:D54"/>
    <mergeCell ref="J60:N60"/>
    <mergeCell ref="B58:P58"/>
    <mergeCell ref="J27:M27"/>
    <mergeCell ref="C53:D53"/>
    <mergeCell ref="O53:P53"/>
    <mergeCell ref="O54:P54"/>
    <mergeCell ref="B52:G52"/>
    <mergeCell ref="L51:N51"/>
    <mergeCell ref="C12:E12"/>
    <mergeCell ref="C20:E20"/>
    <mergeCell ref="F53:G53"/>
    <mergeCell ref="C14:E14"/>
    <mergeCell ref="C19:E19"/>
    <mergeCell ref="C11:E11"/>
    <mergeCell ref="J20:M20"/>
    <mergeCell ref="J21:M21"/>
    <mergeCell ref="F54:G54"/>
    <mergeCell ref="J50:K50"/>
    <mergeCell ref="K53:M53"/>
    <mergeCell ref="J49:K49"/>
    <mergeCell ref="J52:P52"/>
    <mergeCell ref="J47:K47"/>
    <mergeCell ref="C22:E22"/>
    <mergeCell ref="J22:M22"/>
    <mergeCell ref="O24:P24"/>
    <mergeCell ref="J25:M25"/>
    <mergeCell ref="J26:M26"/>
    <mergeCell ref="J29:M29"/>
    <mergeCell ref="J32:M32"/>
    <mergeCell ref="J24:M24"/>
    <mergeCell ref="J31:M31"/>
    <mergeCell ref="J28:M28"/>
    <mergeCell ref="J44:N44"/>
    <mergeCell ref="J40:L40"/>
    <mergeCell ref="J30:M30"/>
    <mergeCell ref="C24:E24"/>
    <mergeCell ref="C28:E28"/>
    <mergeCell ref="C29:E29"/>
    <mergeCell ref="C25:E25"/>
    <mergeCell ref="C26:E26"/>
    <mergeCell ref="C30:E30"/>
    <mergeCell ref="C34:E34"/>
    <mergeCell ref="C31:E31"/>
    <mergeCell ref="C32:E32"/>
    <mergeCell ref="J33:M33"/>
    <mergeCell ref="J34:M34"/>
    <mergeCell ref="J7:K7"/>
    <mergeCell ref="J8:K8"/>
    <mergeCell ref="J9:K9"/>
    <mergeCell ref="C15:E15"/>
    <mergeCell ref="L11:M11"/>
    <mergeCell ref="J15:M15"/>
    <mergeCell ref="C16:E16"/>
    <mergeCell ref="J16:M16"/>
    <mergeCell ref="C21:E21"/>
    <mergeCell ref="C18:E18"/>
    <mergeCell ref="C17:E17"/>
    <mergeCell ref="J19:M19"/>
    <mergeCell ref="K54:M54"/>
    <mergeCell ref="J81:N81"/>
    <mergeCell ref="J80:N80"/>
    <mergeCell ref="T14:U14"/>
    <mergeCell ref="C1:J1"/>
    <mergeCell ref="J3:P3"/>
    <mergeCell ref="C3:E3"/>
    <mergeCell ref="C6:E6"/>
    <mergeCell ref="J13:M13"/>
    <mergeCell ref="C4:E4"/>
    <mergeCell ref="C13:E13"/>
    <mergeCell ref="J4:K4"/>
    <mergeCell ref="L10:M10"/>
    <mergeCell ref="C8:E8"/>
    <mergeCell ref="C5:E5"/>
    <mergeCell ref="J5:K5"/>
    <mergeCell ref="C7:E7"/>
    <mergeCell ref="P11:R11"/>
    <mergeCell ref="J10:K10"/>
    <mergeCell ref="J11:K11"/>
    <mergeCell ref="C10:E10"/>
    <mergeCell ref="J14:M14"/>
    <mergeCell ref="T12:U12"/>
    <mergeCell ref="T13:U13"/>
    <mergeCell ref="S20:U20"/>
    <mergeCell ref="T17:U17"/>
    <mergeCell ref="T18:U18"/>
    <mergeCell ref="T15:U15"/>
    <mergeCell ref="T16:U16"/>
    <mergeCell ref="J17:M17"/>
    <mergeCell ref="J18:M18"/>
    <mergeCell ref="J84:O84"/>
    <mergeCell ref="Q36:R36"/>
    <mergeCell ref="Q43:R43"/>
    <mergeCell ref="Q44:R44"/>
    <mergeCell ref="Q40:R40"/>
    <mergeCell ref="Q51:R51"/>
    <mergeCell ref="J41:L41"/>
    <mergeCell ref="Q41:R41"/>
    <mergeCell ref="Q37:R37"/>
    <mergeCell ref="Q38:R38"/>
    <mergeCell ref="J42:L42"/>
    <mergeCell ref="Q42:R42"/>
    <mergeCell ref="J48:K48"/>
    <mergeCell ref="J43:M43"/>
    <mergeCell ref="Q39:R39"/>
    <mergeCell ref="J46:K46"/>
    <mergeCell ref="J39:L39"/>
  </mergeCells>
  <phoneticPr fontId="37" alignment="center"/>
  <conditionalFormatting sqref="A1:A51 A58">
    <cfRule type="expression" dxfId="10" priority="6250">
      <formula>MOD(ROW(),2)</formula>
    </cfRule>
    <cfRule type="expression" dxfId="9" priority="6254">
      <formula>MOD(ROW(),2)</formula>
    </cfRule>
  </conditionalFormatting>
  <conditionalFormatting sqref="A1:A58">
    <cfRule type="expression" dxfId="8" priority="2945">
      <formula>MOD(ROW(),2)</formula>
    </cfRule>
    <cfRule type="expression" dxfId="7" priority="4878">
      <formula>MOD(ROW(),2)</formula>
    </cfRule>
    <cfRule type="expression" dxfId="6" priority="6046"/>
    <cfRule type="expression" dxfId="5" priority="6208">
      <formula>MOD(ROW(),2)</formula>
    </cfRule>
    <cfRule type="expression" dxfId="4" priority="6209">
      <formula>MOD(ROW(),2)</formula>
    </cfRule>
    <cfRule type="expression" dxfId="3" priority="6210">
      <formula>MOD(ROW(),2)</formula>
    </cfRule>
    <cfRule type="expression" dxfId="2" priority="6211">
      <formula>MOD(ROW(),2)</formula>
    </cfRule>
    <cfRule type="expression" priority="6212">
      <formula>MOD(ROW(),2)</formula>
    </cfRule>
    <cfRule type="expression" dxfId="1" priority="6246">
      <formula>MOD(ROW(),2)</formula>
    </cfRule>
    <cfRule type="expression" dxfId="0" priority="6256">
      <formula>MOD(ROW(),2)</formula>
    </cfRule>
  </conditionalFormatting>
  <printOptions horizontalCentered="1"/>
  <pageMargins left="0.23622047244094491" right="0.23622047244094491" top="0.74803149606299213" bottom="0.74803149606299213" header="0.31496062992125984" footer="0.31496062992125984"/>
  <pageSetup paperSize="9" scale="35" orientation="portrait" copies="8" r:id="rId1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AE68"/>
  <sheetViews>
    <sheetView topLeftCell="R43" zoomScaleNormal="100" workbookViewId="0">
      <selection activeCell="U57" sqref="U57"/>
    </sheetView>
  </sheetViews>
  <sheetFormatPr defaultRowHeight="12.75" x14ac:dyDescent="0.15"/>
  <cols>
    <col min="1" max="1" width="20.359375" customWidth="1"/>
    <col min="2" max="3" width="11.0546875" customWidth="1"/>
    <col min="4" max="4" width="11.19140625" bestFit="1" customWidth="1"/>
    <col min="5" max="6" width="10.65234375" customWidth="1"/>
    <col min="7" max="8" width="11.19140625" bestFit="1" customWidth="1"/>
    <col min="9" max="9" width="11.32421875" customWidth="1"/>
    <col min="10" max="10" width="11.73046875" customWidth="1"/>
    <col min="11" max="11" width="12" customWidth="1"/>
    <col min="12" max="12" width="11.32421875" customWidth="1"/>
    <col min="13" max="13" width="14.29296875" customWidth="1"/>
    <col min="14" max="14" width="13.75390625" customWidth="1"/>
    <col min="15" max="15" width="12.40625" customWidth="1"/>
    <col min="16" max="16" width="11.73046875" customWidth="1"/>
    <col min="17" max="17" width="11.59375" customWidth="1"/>
    <col min="18" max="18" width="13.75390625" customWidth="1"/>
    <col min="19" max="19" width="13.078125" customWidth="1"/>
    <col min="20" max="20" width="16.046875" customWidth="1"/>
    <col min="21" max="21" width="13.484375" bestFit="1" customWidth="1"/>
    <col min="22" max="22" width="14.5625" customWidth="1"/>
    <col min="23" max="23" width="13.88671875" customWidth="1"/>
    <col min="24" max="24" width="11.0546875" customWidth="1"/>
    <col min="25" max="26" width="12" customWidth="1"/>
    <col min="27" max="27" width="13.88671875" customWidth="1"/>
    <col min="28" max="28" width="11.19140625" bestFit="1" customWidth="1"/>
    <col min="29" max="29" width="13.88671875" customWidth="1"/>
    <col min="30" max="30" width="11.19140625" bestFit="1" customWidth="1"/>
    <col min="31" max="31" width="14.29296875" customWidth="1"/>
  </cols>
  <sheetData>
    <row r="1" spans="1:31" ht="21.75" x14ac:dyDescent="0.25">
      <c r="A1" s="208"/>
      <c r="B1" s="455" t="s">
        <v>90</v>
      </c>
      <c r="C1" s="455"/>
      <c r="D1" s="455"/>
      <c r="E1" s="455"/>
      <c r="F1" s="455"/>
      <c r="G1" s="455"/>
      <c r="H1" s="455"/>
      <c r="I1" s="455"/>
      <c r="J1" s="455"/>
      <c r="K1" s="455"/>
      <c r="L1" s="455"/>
      <c r="M1" s="455"/>
      <c r="N1" s="455"/>
      <c r="O1" s="455"/>
      <c r="P1" s="455"/>
      <c r="Q1" s="455"/>
      <c r="R1" s="455"/>
      <c r="S1" s="455"/>
      <c r="T1" s="455"/>
      <c r="U1" s="455"/>
      <c r="V1" s="455"/>
      <c r="W1" s="455"/>
      <c r="X1" s="455"/>
      <c r="Y1" s="209"/>
      <c r="Z1" s="209"/>
      <c r="AA1" s="210" t="s">
        <v>24</v>
      </c>
      <c r="AB1" s="456" t="s">
        <v>247</v>
      </c>
      <c r="AC1" s="456"/>
      <c r="AD1" s="456"/>
      <c r="AE1" s="456"/>
    </row>
    <row r="2" spans="1:31" ht="20.25" customHeight="1" x14ac:dyDescent="0.15">
      <c r="A2" s="457" t="s">
        <v>25</v>
      </c>
      <c r="B2" s="460" t="s">
        <v>26</v>
      </c>
      <c r="C2" s="461"/>
      <c r="D2" s="461"/>
      <c r="E2" s="461"/>
      <c r="F2" s="461"/>
      <c r="G2" s="461"/>
      <c r="H2" s="461"/>
      <c r="I2" s="461"/>
      <c r="J2" s="461"/>
      <c r="K2" s="461"/>
      <c r="L2" s="461"/>
      <c r="M2" s="461"/>
      <c r="N2" s="461"/>
      <c r="O2" s="461"/>
      <c r="P2" s="461"/>
      <c r="Q2" s="461"/>
      <c r="R2" s="461"/>
      <c r="S2" s="461"/>
      <c r="T2" s="461"/>
      <c r="U2" s="461"/>
      <c r="V2" s="461"/>
      <c r="W2" s="462"/>
      <c r="X2" s="463"/>
      <c r="Y2" s="464"/>
      <c r="Z2" s="464"/>
      <c r="AA2" s="464"/>
      <c r="AB2" s="464"/>
      <c r="AC2" s="464"/>
      <c r="AD2" s="465"/>
      <c r="AE2" s="466" t="s">
        <v>66</v>
      </c>
    </row>
    <row r="3" spans="1:31" ht="15.75" customHeight="1" x14ac:dyDescent="0.15">
      <c r="A3" s="458"/>
      <c r="B3" s="469" t="s">
        <v>20</v>
      </c>
      <c r="C3" s="470"/>
      <c r="D3" s="471"/>
      <c r="E3" s="469" t="s">
        <v>28</v>
      </c>
      <c r="F3" s="470"/>
      <c r="G3" s="470"/>
      <c r="H3" s="470"/>
      <c r="I3" s="470"/>
      <c r="J3" s="470"/>
      <c r="K3" s="470"/>
      <c r="L3" s="470"/>
      <c r="M3" s="470"/>
      <c r="N3" s="470"/>
      <c r="O3" s="470"/>
      <c r="P3" s="470"/>
      <c r="Q3" s="470"/>
      <c r="R3" s="471"/>
      <c r="S3" s="222"/>
      <c r="T3" s="222"/>
      <c r="U3" s="472" t="s">
        <v>62</v>
      </c>
      <c r="V3" s="473"/>
      <c r="W3" s="474"/>
      <c r="X3" s="481" t="s">
        <v>64</v>
      </c>
      <c r="Y3" s="482"/>
      <c r="Z3" s="482"/>
      <c r="AA3" s="483"/>
      <c r="AB3" s="481" t="s">
        <v>65</v>
      </c>
      <c r="AC3" s="482"/>
      <c r="AD3" s="483"/>
      <c r="AE3" s="467"/>
    </row>
    <row r="4" spans="1:31" ht="18.75" customHeight="1" x14ac:dyDescent="0.15">
      <c r="A4" s="458"/>
      <c r="B4" s="457" t="s">
        <v>61</v>
      </c>
      <c r="C4" s="457" t="s">
        <v>2</v>
      </c>
      <c r="D4" s="457" t="s">
        <v>29</v>
      </c>
      <c r="E4" s="469" t="s">
        <v>30</v>
      </c>
      <c r="F4" s="470"/>
      <c r="G4" s="470"/>
      <c r="H4" s="470"/>
      <c r="I4" s="470"/>
      <c r="J4" s="470"/>
      <c r="K4" s="470"/>
      <c r="L4" s="470"/>
      <c r="M4" s="471"/>
      <c r="N4" s="469"/>
      <c r="O4" s="470"/>
      <c r="P4" s="470"/>
      <c r="Q4" s="470"/>
      <c r="R4" s="471"/>
      <c r="S4" s="223"/>
      <c r="T4" s="223"/>
      <c r="U4" s="475"/>
      <c r="V4" s="476"/>
      <c r="W4" s="477"/>
      <c r="X4" s="484" t="s">
        <v>31</v>
      </c>
      <c r="Y4" s="485"/>
      <c r="Z4" s="486"/>
      <c r="AA4" s="490" t="s">
        <v>32</v>
      </c>
      <c r="AB4" s="490" t="s">
        <v>31</v>
      </c>
      <c r="AC4" s="490" t="s">
        <v>84</v>
      </c>
      <c r="AD4" s="490" t="s">
        <v>32</v>
      </c>
      <c r="AE4" s="467"/>
    </row>
    <row r="5" spans="1:31" ht="28.5" customHeight="1" x14ac:dyDescent="0.15">
      <c r="A5" s="458"/>
      <c r="B5" s="458"/>
      <c r="C5" s="458"/>
      <c r="D5" s="458"/>
      <c r="E5" s="469" t="s">
        <v>33</v>
      </c>
      <c r="F5" s="471"/>
      <c r="G5" s="469" t="s">
        <v>34</v>
      </c>
      <c r="H5" s="471"/>
      <c r="I5" s="469" t="s">
        <v>69</v>
      </c>
      <c r="J5" s="470"/>
      <c r="K5" s="471"/>
      <c r="L5" s="224" t="s">
        <v>88</v>
      </c>
      <c r="M5" s="457" t="s">
        <v>35</v>
      </c>
      <c r="N5" s="469"/>
      <c r="O5" s="470"/>
      <c r="P5" s="470"/>
      <c r="Q5" s="471"/>
      <c r="R5" s="225" t="s">
        <v>47</v>
      </c>
      <c r="S5" s="225" t="s">
        <v>67</v>
      </c>
      <c r="T5" s="225" t="s">
        <v>76</v>
      </c>
      <c r="U5" s="478"/>
      <c r="V5" s="479"/>
      <c r="W5" s="480"/>
      <c r="X5" s="487"/>
      <c r="Y5" s="488"/>
      <c r="Z5" s="489"/>
      <c r="AA5" s="491"/>
      <c r="AB5" s="491"/>
      <c r="AC5" s="491"/>
      <c r="AD5" s="491"/>
      <c r="AE5" s="467"/>
    </row>
    <row r="6" spans="1:31" ht="17.25" customHeight="1" x14ac:dyDescent="0.15">
      <c r="A6" s="459"/>
      <c r="B6" s="459"/>
      <c r="C6" s="459"/>
      <c r="D6" s="459"/>
      <c r="E6" s="225" t="s">
        <v>61</v>
      </c>
      <c r="F6" s="226" t="s">
        <v>2</v>
      </c>
      <c r="G6" s="225" t="s">
        <v>61</v>
      </c>
      <c r="H6" s="225" t="s">
        <v>2</v>
      </c>
      <c r="I6" s="225" t="s">
        <v>72</v>
      </c>
      <c r="J6" s="224" t="s">
        <v>68</v>
      </c>
      <c r="K6" s="225" t="s">
        <v>83</v>
      </c>
      <c r="L6" s="225" t="s">
        <v>77</v>
      </c>
      <c r="M6" s="459"/>
      <c r="N6" s="225" t="s">
        <v>36</v>
      </c>
      <c r="O6" s="225" t="s">
        <v>74</v>
      </c>
      <c r="P6" s="225" t="s">
        <v>71</v>
      </c>
      <c r="Q6" s="225" t="s">
        <v>82</v>
      </c>
      <c r="R6" s="225" t="s">
        <v>2</v>
      </c>
      <c r="S6" s="225" t="s">
        <v>2</v>
      </c>
      <c r="T6" s="225" t="s">
        <v>77</v>
      </c>
      <c r="U6" s="225" t="s">
        <v>61</v>
      </c>
      <c r="V6" s="225" t="s">
        <v>2</v>
      </c>
      <c r="W6" s="225" t="s">
        <v>37</v>
      </c>
      <c r="X6" s="227" t="s">
        <v>79</v>
      </c>
      <c r="Y6" s="227" t="s">
        <v>80</v>
      </c>
      <c r="Z6" s="227" t="s">
        <v>150</v>
      </c>
      <c r="AA6" s="492"/>
      <c r="AB6" s="492"/>
      <c r="AC6" s="492"/>
      <c r="AD6" s="492"/>
      <c r="AE6" s="468"/>
    </row>
    <row r="7" spans="1:31" ht="33.75" customHeight="1" x14ac:dyDescent="0.15">
      <c r="A7" s="233">
        <v>46113</v>
      </c>
      <c r="B7" s="234">
        <v>42</v>
      </c>
      <c r="C7" s="234">
        <v>15</v>
      </c>
      <c r="D7" s="235">
        <f t="shared" ref="D7:D11" si="0">B7+C7</f>
        <v>57</v>
      </c>
      <c r="E7" s="236">
        <v>23</v>
      </c>
      <c r="F7" s="236">
        <v>3</v>
      </c>
      <c r="G7" s="236">
        <v>95</v>
      </c>
      <c r="H7" s="236">
        <v>0</v>
      </c>
      <c r="I7" s="236">
        <v>63</v>
      </c>
      <c r="J7" s="237">
        <v>16</v>
      </c>
      <c r="K7" s="237">
        <v>27</v>
      </c>
      <c r="L7" s="237">
        <v>10</v>
      </c>
      <c r="M7" s="238">
        <f>SUM(E7:L7)</f>
        <v>237</v>
      </c>
      <c r="N7" s="239">
        <v>51</v>
      </c>
      <c r="O7" s="239">
        <v>20</v>
      </c>
      <c r="P7" s="239">
        <v>18</v>
      </c>
      <c r="Q7" s="239">
        <v>17</v>
      </c>
      <c r="R7" s="240">
        <v>64</v>
      </c>
      <c r="S7" s="241">
        <v>0</v>
      </c>
      <c r="T7" s="241">
        <v>36</v>
      </c>
      <c r="U7" s="242">
        <f>B7+E7+G7+I7+J7+L7+P7+Q7</f>
        <v>284</v>
      </c>
      <c r="V7" s="243">
        <f>C7+F7+H7+K7+N7+O7</f>
        <v>116</v>
      </c>
      <c r="W7" s="243">
        <f>D7+M7+N7+O7+P7+Q7</f>
        <v>400</v>
      </c>
      <c r="X7" s="244">
        <v>60</v>
      </c>
      <c r="Y7" s="244">
        <v>15</v>
      </c>
      <c r="Z7" s="244">
        <v>5</v>
      </c>
      <c r="AA7" s="245">
        <v>183</v>
      </c>
      <c r="AB7" s="245">
        <v>0</v>
      </c>
      <c r="AC7" s="245">
        <v>0</v>
      </c>
      <c r="AD7" s="245">
        <v>129</v>
      </c>
      <c r="AE7" s="246">
        <f t="shared" ref="AE7" si="1">X7+Y7+AA7+AB7+AD7</f>
        <v>387</v>
      </c>
    </row>
    <row r="8" spans="1:31" ht="33.75" customHeight="1" x14ac:dyDescent="0.15">
      <c r="A8" s="233">
        <v>46143</v>
      </c>
      <c r="B8" s="234">
        <v>30</v>
      </c>
      <c r="C8" s="234">
        <v>14</v>
      </c>
      <c r="D8" s="235">
        <f t="shared" si="0"/>
        <v>44</v>
      </c>
      <c r="E8" s="236">
        <v>0</v>
      </c>
      <c r="F8" s="236">
        <v>0</v>
      </c>
      <c r="G8" s="236">
        <v>73</v>
      </c>
      <c r="H8" s="236">
        <v>0</v>
      </c>
      <c r="I8" s="236">
        <v>71</v>
      </c>
      <c r="J8" s="237">
        <v>7</v>
      </c>
      <c r="K8" s="237">
        <v>35</v>
      </c>
      <c r="L8" s="237">
        <v>11</v>
      </c>
      <c r="M8" s="238">
        <f>SUM(E8:L8)</f>
        <v>197</v>
      </c>
      <c r="N8" s="239">
        <v>59</v>
      </c>
      <c r="O8" s="239">
        <v>57</v>
      </c>
      <c r="P8" s="239">
        <v>31</v>
      </c>
      <c r="Q8" s="239">
        <v>25</v>
      </c>
      <c r="R8" s="240">
        <v>68</v>
      </c>
      <c r="S8" s="241">
        <v>18</v>
      </c>
      <c r="T8" s="241">
        <v>56</v>
      </c>
      <c r="U8" s="242">
        <f>B8+E8+G8+I8+J8+L8+P8+Q8</f>
        <v>248</v>
      </c>
      <c r="V8" s="243">
        <f>C8+F8+H8+K8+N8+O8</f>
        <v>165</v>
      </c>
      <c r="W8" s="243">
        <f>D8+M8+N8+O8+P8+Q8</f>
        <v>413</v>
      </c>
      <c r="X8" s="244">
        <v>72</v>
      </c>
      <c r="Y8" s="244">
        <v>5</v>
      </c>
      <c r="Z8" s="244">
        <v>16</v>
      </c>
      <c r="AA8" s="245">
        <v>164</v>
      </c>
      <c r="AB8" s="245">
        <v>4</v>
      </c>
      <c r="AC8" s="245">
        <v>35</v>
      </c>
      <c r="AD8" s="245">
        <v>106</v>
      </c>
      <c r="AE8" s="246">
        <f>SUM(X8:AD8)</f>
        <v>402</v>
      </c>
    </row>
    <row r="9" spans="1:31" ht="33.75" customHeight="1" x14ac:dyDescent="0.15">
      <c r="A9" s="233">
        <v>46174</v>
      </c>
      <c r="B9" s="234">
        <v>26</v>
      </c>
      <c r="C9" s="234">
        <v>16</v>
      </c>
      <c r="D9" s="235">
        <f t="shared" si="0"/>
        <v>42</v>
      </c>
      <c r="E9" s="236">
        <v>0</v>
      </c>
      <c r="F9" s="236">
        <v>0</v>
      </c>
      <c r="G9" s="236">
        <v>51</v>
      </c>
      <c r="H9" s="236">
        <v>0</v>
      </c>
      <c r="I9" s="236">
        <v>68</v>
      </c>
      <c r="J9" s="237">
        <v>7</v>
      </c>
      <c r="K9" s="237">
        <v>8</v>
      </c>
      <c r="L9" s="237">
        <v>14</v>
      </c>
      <c r="M9" s="238">
        <f>SUM(E9:L9)</f>
        <v>148</v>
      </c>
      <c r="N9" s="239">
        <v>63</v>
      </c>
      <c r="O9" s="239">
        <v>62</v>
      </c>
      <c r="P9" s="239">
        <v>53</v>
      </c>
      <c r="Q9" s="239">
        <v>16</v>
      </c>
      <c r="R9" s="240">
        <v>95</v>
      </c>
      <c r="S9" s="241">
        <v>19</v>
      </c>
      <c r="T9" s="241">
        <v>59</v>
      </c>
      <c r="U9" s="242">
        <f>B9+E9+G9+I9+J9+L9+P9+Q9</f>
        <v>235</v>
      </c>
      <c r="V9" s="243">
        <f>C9+F9+H9+K9+N9+O9</f>
        <v>149</v>
      </c>
      <c r="W9" s="243">
        <f>D9+M9+N9+O9+P9+Q9</f>
        <v>384</v>
      </c>
      <c r="X9" s="244">
        <v>59</v>
      </c>
      <c r="Y9" s="244">
        <v>7</v>
      </c>
      <c r="Z9" s="244">
        <v>5</v>
      </c>
      <c r="AA9" s="245">
        <v>121</v>
      </c>
      <c r="AB9" s="245">
        <v>4</v>
      </c>
      <c r="AC9" s="245">
        <v>10</v>
      </c>
      <c r="AD9" s="245">
        <v>139</v>
      </c>
      <c r="AE9" s="246">
        <f>SUM(X9:AD9)</f>
        <v>345</v>
      </c>
    </row>
    <row r="10" spans="1:31" ht="33.75" customHeight="1" x14ac:dyDescent="0.15">
      <c r="A10" s="233">
        <v>46204</v>
      </c>
      <c r="B10" s="234">
        <v>3</v>
      </c>
      <c r="C10" s="234">
        <v>7</v>
      </c>
      <c r="D10" s="235">
        <f t="shared" si="0"/>
        <v>10</v>
      </c>
      <c r="E10" s="236">
        <v>0</v>
      </c>
      <c r="F10" s="236">
        <v>0</v>
      </c>
      <c r="G10" s="236">
        <v>81</v>
      </c>
      <c r="H10" s="236">
        <v>0</v>
      </c>
      <c r="I10" s="236">
        <v>65</v>
      </c>
      <c r="J10" s="237">
        <v>4</v>
      </c>
      <c r="K10" s="237">
        <v>8</v>
      </c>
      <c r="L10" s="237">
        <v>12</v>
      </c>
      <c r="M10" s="238">
        <f>SUM(E10:L10)</f>
        <v>170</v>
      </c>
      <c r="N10" s="239">
        <v>75</v>
      </c>
      <c r="O10" s="239">
        <v>68</v>
      </c>
      <c r="P10" s="239">
        <v>30</v>
      </c>
      <c r="Q10" s="239">
        <v>34</v>
      </c>
      <c r="R10" s="240">
        <v>98</v>
      </c>
      <c r="S10" s="241">
        <v>33</v>
      </c>
      <c r="T10" s="241">
        <v>57</v>
      </c>
      <c r="U10" s="242">
        <f>B10+E10+G10+I10+J10+L10+P10+Q10</f>
        <v>229</v>
      </c>
      <c r="V10" s="243">
        <f>C10+F10+H10+K10+N10+O10</f>
        <v>158</v>
      </c>
      <c r="W10" s="243">
        <f>D10+M10+N10+O10+P10+Q10</f>
        <v>387</v>
      </c>
      <c r="X10" s="244">
        <v>56</v>
      </c>
      <c r="Y10" s="244">
        <v>4</v>
      </c>
      <c r="Z10" s="244">
        <v>12</v>
      </c>
      <c r="AA10" s="245">
        <v>140</v>
      </c>
      <c r="AB10" s="245">
        <v>9</v>
      </c>
      <c r="AC10" s="245">
        <v>5</v>
      </c>
      <c r="AD10" s="245">
        <v>134</v>
      </c>
      <c r="AE10" s="246">
        <f>SUM(X10:AD10)</f>
        <v>360</v>
      </c>
    </row>
    <row r="11" spans="1:31" ht="33.75" customHeight="1" x14ac:dyDescent="0.15">
      <c r="A11" s="233">
        <v>46235</v>
      </c>
      <c r="B11" s="234">
        <v>0</v>
      </c>
      <c r="C11" s="234">
        <v>3</v>
      </c>
      <c r="D11" s="235">
        <f t="shared" si="0"/>
        <v>3</v>
      </c>
      <c r="E11" s="236">
        <v>0</v>
      </c>
      <c r="F11" s="236">
        <v>2</v>
      </c>
      <c r="G11" s="236">
        <v>79</v>
      </c>
      <c r="H11" s="236">
        <v>0</v>
      </c>
      <c r="I11" s="236">
        <v>58</v>
      </c>
      <c r="J11" s="237">
        <v>2</v>
      </c>
      <c r="K11" s="237">
        <v>34</v>
      </c>
      <c r="L11" s="237">
        <v>25</v>
      </c>
      <c r="M11" s="238">
        <f>SUM(E11:L11)</f>
        <v>200</v>
      </c>
      <c r="N11" s="239">
        <v>58</v>
      </c>
      <c r="O11" s="239">
        <v>71</v>
      </c>
      <c r="P11" s="239">
        <v>34</v>
      </c>
      <c r="Q11" s="239">
        <v>40</v>
      </c>
      <c r="R11" s="240">
        <v>80</v>
      </c>
      <c r="S11" s="241">
        <v>21</v>
      </c>
      <c r="T11" s="241">
        <v>57</v>
      </c>
      <c r="U11" s="242">
        <f>B11+E11+G11+I11+J11+L11+P11+Q11</f>
        <v>238</v>
      </c>
      <c r="V11" s="243">
        <f>C11+F11+H11+K11+N11+O11</f>
        <v>168</v>
      </c>
      <c r="W11" s="243">
        <f>D11+M11+N11+O11+P11+Q11</f>
        <v>406</v>
      </c>
      <c r="X11" s="244">
        <v>60</v>
      </c>
      <c r="Y11" s="244">
        <v>2</v>
      </c>
      <c r="Z11" s="244">
        <v>25</v>
      </c>
      <c r="AA11" s="245">
        <v>135</v>
      </c>
      <c r="AB11" s="245">
        <v>2</v>
      </c>
      <c r="AC11" s="245">
        <v>26</v>
      </c>
      <c r="AD11" s="245">
        <v>114</v>
      </c>
      <c r="AE11" s="246">
        <f>SUM(X11:AD11)</f>
        <v>364</v>
      </c>
    </row>
    <row r="12" spans="1:31" ht="35.25" customHeight="1" x14ac:dyDescent="0.15">
      <c r="A12" s="247" t="s">
        <v>5</v>
      </c>
      <c r="B12" s="247">
        <f>SUM(B7:B11)</f>
        <v>101</v>
      </c>
      <c r="C12" s="247">
        <f t="shared" ref="C12:AE12" si="2">SUM(C7:C11)</f>
        <v>55</v>
      </c>
      <c r="D12" s="247">
        <f t="shared" si="2"/>
        <v>156</v>
      </c>
      <c r="E12" s="247">
        <f t="shared" si="2"/>
        <v>23</v>
      </c>
      <c r="F12" s="247">
        <f t="shared" si="2"/>
        <v>5</v>
      </c>
      <c r="G12" s="247">
        <f t="shared" si="2"/>
        <v>379</v>
      </c>
      <c r="H12" s="247">
        <f t="shared" si="2"/>
        <v>0</v>
      </c>
      <c r="I12" s="247">
        <f t="shared" si="2"/>
        <v>325</v>
      </c>
      <c r="J12" s="247">
        <f t="shared" si="2"/>
        <v>36</v>
      </c>
      <c r="K12" s="247">
        <f t="shared" si="2"/>
        <v>112</v>
      </c>
      <c r="L12" s="247">
        <f t="shared" si="2"/>
        <v>72</v>
      </c>
      <c r="M12" s="247">
        <f t="shared" si="2"/>
        <v>952</v>
      </c>
      <c r="N12" s="247">
        <f t="shared" si="2"/>
        <v>306</v>
      </c>
      <c r="O12" s="247">
        <f t="shared" si="2"/>
        <v>278</v>
      </c>
      <c r="P12" s="247">
        <f t="shared" si="2"/>
        <v>166</v>
      </c>
      <c r="Q12" s="247">
        <f t="shared" si="2"/>
        <v>132</v>
      </c>
      <c r="R12" s="247">
        <f t="shared" si="2"/>
        <v>405</v>
      </c>
      <c r="S12" s="247">
        <f t="shared" si="2"/>
        <v>91</v>
      </c>
      <c r="T12" s="247">
        <f t="shared" si="2"/>
        <v>265</v>
      </c>
      <c r="U12" s="247">
        <f t="shared" si="2"/>
        <v>1234</v>
      </c>
      <c r="V12" s="247">
        <f t="shared" si="2"/>
        <v>756</v>
      </c>
      <c r="W12" s="247">
        <f t="shared" si="2"/>
        <v>1990</v>
      </c>
      <c r="X12" s="247">
        <f t="shared" si="2"/>
        <v>307</v>
      </c>
      <c r="Y12" s="247">
        <f t="shared" si="2"/>
        <v>33</v>
      </c>
      <c r="Z12" s="247">
        <f t="shared" si="2"/>
        <v>63</v>
      </c>
      <c r="AA12" s="247">
        <f t="shared" si="2"/>
        <v>743</v>
      </c>
      <c r="AB12" s="247">
        <f t="shared" si="2"/>
        <v>19</v>
      </c>
      <c r="AC12" s="247">
        <f t="shared" si="2"/>
        <v>76</v>
      </c>
      <c r="AD12" s="247">
        <f t="shared" si="2"/>
        <v>622</v>
      </c>
      <c r="AE12" s="247">
        <f t="shared" si="2"/>
        <v>1858</v>
      </c>
    </row>
    <row r="13" spans="1:31" ht="21.75" x14ac:dyDescent="0.15">
      <c r="A13" s="493" t="s">
        <v>179</v>
      </c>
      <c r="B13" s="493"/>
      <c r="C13" s="493"/>
      <c r="D13" s="493"/>
      <c r="E13" s="493"/>
      <c r="F13" s="493"/>
      <c r="G13" s="493"/>
      <c r="H13" s="493"/>
      <c r="I13" s="493"/>
      <c r="J13" s="493"/>
      <c r="K13" s="493"/>
      <c r="L13" s="493"/>
      <c r="M13" s="493"/>
      <c r="N13" s="493"/>
      <c r="O13" s="493"/>
      <c r="P13" s="493"/>
      <c r="Q13" s="493"/>
      <c r="R13" s="493"/>
      <c r="S13" s="493"/>
      <c r="T13" s="493"/>
      <c r="U13" s="493"/>
      <c r="V13" s="493"/>
      <c r="W13" s="493"/>
      <c r="X13" s="493"/>
      <c r="Y13" s="493"/>
      <c r="Z13" s="493"/>
      <c r="AA13" s="493"/>
      <c r="AB13" s="493"/>
      <c r="AC13" s="493"/>
      <c r="AD13" s="493"/>
      <c r="AE13" s="493"/>
    </row>
    <row r="14" spans="1:31" ht="26.25" customHeight="1" x14ac:dyDescent="0.15">
      <c r="A14" s="494" t="s">
        <v>38</v>
      </c>
      <c r="B14" s="497" t="s">
        <v>26</v>
      </c>
      <c r="C14" s="498"/>
      <c r="D14" s="498"/>
      <c r="E14" s="498"/>
      <c r="F14" s="498"/>
      <c r="G14" s="498"/>
      <c r="H14" s="498"/>
      <c r="I14" s="498"/>
      <c r="J14" s="498"/>
      <c r="K14" s="498"/>
      <c r="L14" s="498"/>
      <c r="M14" s="498"/>
      <c r="N14" s="498"/>
      <c r="O14" s="498"/>
      <c r="P14" s="498"/>
      <c r="Q14" s="498"/>
      <c r="R14" s="498"/>
      <c r="S14" s="498"/>
      <c r="T14" s="498"/>
      <c r="U14" s="498"/>
      <c r="V14" s="498"/>
      <c r="W14" s="499"/>
      <c r="X14" s="497" t="s">
        <v>27</v>
      </c>
      <c r="Y14" s="498"/>
      <c r="Z14" s="498"/>
      <c r="AA14" s="498"/>
      <c r="AB14" s="498"/>
      <c r="AC14" s="498"/>
      <c r="AD14" s="499"/>
      <c r="AE14" s="500" t="s">
        <v>66</v>
      </c>
    </row>
    <row r="15" spans="1:31" ht="24.75" customHeight="1" x14ac:dyDescent="0.15">
      <c r="A15" s="495"/>
      <c r="B15" s="497" t="s">
        <v>20</v>
      </c>
      <c r="C15" s="498"/>
      <c r="D15" s="499"/>
      <c r="E15" s="497" t="s">
        <v>28</v>
      </c>
      <c r="F15" s="498"/>
      <c r="G15" s="498"/>
      <c r="H15" s="498"/>
      <c r="I15" s="498"/>
      <c r="J15" s="498"/>
      <c r="K15" s="498"/>
      <c r="L15" s="498"/>
      <c r="M15" s="498"/>
      <c r="N15" s="498"/>
      <c r="O15" s="498"/>
      <c r="P15" s="498"/>
      <c r="Q15" s="498"/>
      <c r="R15" s="499"/>
      <c r="S15" s="228"/>
      <c r="T15" s="228"/>
      <c r="U15" s="503" t="s">
        <v>63</v>
      </c>
      <c r="V15" s="504"/>
      <c r="W15" s="505"/>
      <c r="X15" s="512" t="s">
        <v>64</v>
      </c>
      <c r="Y15" s="513"/>
      <c r="Z15" s="513"/>
      <c r="AA15" s="514"/>
      <c r="AB15" s="512" t="s">
        <v>65</v>
      </c>
      <c r="AC15" s="513"/>
      <c r="AD15" s="514"/>
      <c r="AE15" s="501"/>
    </row>
    <row r="16" spans="1:31" ht="25.5" customHeight="1" x14ac:dyDescent="0.15">
      <c r="A16" s="495"/>
      <c r="B16" s="494" t="s">
        <v>61</v>
      </c>
      <c r="C16" s="494" t="s">
        <v>2</v>
      </c>
      <c r="D16" s="494" t="s">
        <v>29</v>
      </c>
      <c r="E16" s="515" t="s">
        <v>30</v>
      </c>
      <c r="F16" s="516"/>
      <c r="G16" s="516"/>
      <c r="H16" s="516"/>
      <c r="I16" s="516"/>
      <c r="J16" s="516"/>
      <c r="K16" s="516"/>
      <c r="L16" s="516"/>
      <c r="M16" s="517"/>
      <c r="N16" s="512"/>
      <c r="O16" s="513"/>
      <c r="P16" s="513"/>
      <c r="Q16" s="513"/>
      <c r="R16" s="514"/>
      <c r="S16" s="228"/>
      <c r="T16" s="228"/>
      <c r="U16" s="506"/>
      <c r="V16" s="507"/>
      <c r="W16" s="508"/>
      <c r="X16" s="518" t="s">
        <v>31</v>
      </c>
      <c r="Y16" s="519"/>
      <c r="Z16" s="520"/>
      <c r="AA16" s="494" t="s">
        <v>32</v>
      </c>
      <c r="AB16" s="494" t="s">
        <v>31</v>
      </c>
      <c r="AC16" s="494" t="s">
        <v>84</v>
      </c>
      <c r="AD16" s="494" t="s">
        <v>32</v>
      </c>
      <c r="AE16" s="501"/>
    </row>
    <row r="17" spans="1:31" ht="33.75" customHeight="1" x14ac:dyDescent="0.15">
      <c r="A17" s="495"/>
      <c r="B17" s="495"/>
      <c r="C17" s="495"/>
      <c r="D17" s="495"/>
      <c r="E17" s="512" t="s">
        <v>33</v>
      </c>
      <c r="F17" s="514"/>
      <c r="G17" s="512" t="s">
        <v>34</v>
      </c>
      <c r="H17" s="514"/>
      <c r="I17" s="512" t="s">
        <v>69</v>
      </c>
      <c r="J17" s="513"/>
      <c r="K17" s="514"/>
      <c r="L17" s="229" t="s">
        <v>88</v>
      </c>
      <c r="M17" s="494" t="s">
        <v>35</v>
      </c>
      <c r="N17" s="512" t="s">
        <v>48</v>
      </c>
      <c r="O17" s="513"/>
      <c r="P17" s="513"/>
      <c r="Q17" s="514"/>
      <c r="R17" s="230" t="s">
        <v>47</v>
      </c>
      <c r="S17" s="230" t="s">
        <v>67</v>
      </c>
      <c r="T17" s="230" t="s">
        <v>76</v>
      </c>
      <c r="U17" s="509"/>
      <c r="V17" s="510"/>
      <c r="W17" s="511"/>
      <c r="X17" s="521"/>
      <c r="Y17" s="522"/>
      <c r="Z17" s="523"/>
      <c r="AA17" s="495"/>
      <c r="AB17" s="495"/>
      <c r="AC17" s="495"/>
      <c r="AD17" s="495"/>
      <c r="AE17" s="501"/>
    </row>
    <row r="18" spans="1:31" ht="28.5" customHeight="1" x14ac:dyDescent="0.1">
      <c r="A18" s="496"/>
      <c r="B18" s="496"/>
      <c r="C18" s="496"/>
      <c r="D18" s="496"/>
      <c r="E18" s="230" t="s">
        <v>61</v>
      </c>
      <c r="F18" s="231" t="s">
        <v>2</v>
      </c>
      <c r="G18" s="230" t="s">
        <v>61</v>
      </c>
      <c r="H18" s="230" t="s">
        <v>2</v>
      </c>
      <c r="I18" s="230" t="s">
        <v>73</v>
      </c>
      <c r="J18" s="230" t="s">
        <v>68</v>
      </c>
      <c r="K18" s="230" t="s">
        <v>83</v>
      </c>
      <c r="L18" s="230"/>
      <c r="M18" s="496"/>
      <c r="N18" s="230" t="s">
        <v>151</v>
      </c>
      <c r="O18" s="230" t="s">
        <v>75</v>
      </c>
      <c r="P18" s="230" t="s">
        <v>70</v>
      </c>
      <c r="Q18" s="230" t="s">
        <v>81</v>
      </c>
      <c r="R18" s="230" t="s">
        <v>2</v>
      </c>
      <c r="S18" s="230" t="s">
        <v>2</v>
      </c>
      <c r="T18" s="230" t="s">
        <v>77</v>
      </c>
      <c r="U18" s="230" t="s">
        <v>61</v>
      </c>
      <c r="V18" s="230" t="s">
        <v>2</v>
      </c>
      <c r="W18" s="232" t="s">
        <v>37</v>
      </c>
      <c r="X18" s="230" t="s">
        <v>79</v>
      </c>
      <c r="Y18" s="230" t="s">
        <v>80</v>
      </c>
      <c r="Z18" s="230" t="s">
        <v>150</v>
      </c>
      <c r="AA18" s="496"/>
      <c r="AB18" s="496"/>
      <c r="AC18" s="496"/>
      <c r="AD18" s="496"/>
      <c r="AE18" s="502"/>
    </row>
    <row r="19" spans="1:31" s="212" customFormat="1" ht="54" customHeight="1" x14ac:dyDescent="0.15">
      <c r="A19" s="211" t="s">
        <v>178</v>
      </c>
      <c r="B19" s="213">
        <v>0</v>
      </c>
      <c r="C19" s="213">
        <v>0</v>
      </c>
      <c r="D19" s="214">
        <f t="shared" ref="D19:D38" si="3">B19+C19</f>
        <v>0</v>
      </c>
      <c r="E19" s="213">
        <v>0</v>
      </c>
      <c r="F19" s="213">
        <v>0</v>
      </c>
      <c r="G19" s="215">
        <v>3</v>
      </c>
      <c r="H19" s="215">
        <v>0</v>
      </c>
      <c r="I19" s="215">
        <v>2</v>
      </c>
      <c r="J19" s="215">
        <v>0</v>
      </c>
      <c r="K19" s="215">
        <v>1</v>
      </c>
      <c r="L19" s="215">
        <v>2</v>
      </c>
      <c r="M19" s="216">
        <f t="shared" ref="M19:M38" si="4">SUM(E19:L19)</f>
        <v>8</v>
      </c>
      <c r="N19" s="217">
        <v>3</v>
      </c>
      <c r="O19" s="217">
        <v>4</v>
      </c>
      <c r="P19" s="217">
        <v>1</v>
      </c>
      <c r="Q19" s="217">
        <v>1</v>
      </c>
      <c r="R19" s="217">
        <v>1</v>
      </c>
      <c r="S19" s="217">
        <v>0</v>
      </c>
      <c r="T19" s="217">
        <v>2</v>
      </c>
      <c r="U19" s="218">
        <f t="shared" ref="U19:U38" si="5">B19+E19+G19+I19+J19+L19+P19+Q19</f>
        <v>9</v>
      </c>
      <c r="V19" s="219">
        <f t="shared" ref="V19:V38" si="6">C19+F19+H19+K19+N19+O19</f>
        <v>8</v>
      </c>
      <c r="W19" s="219">
        <f t="shared" ref="W19:W38" si="7">D19+M19+N19+O19+P19+Q19</f>
        <v>17</v>
      </c>
      <c r="X19" s="213">
        <v>1</v>
      </c>
      <c r="Y19" s="220">
        <v>0</v>
      </c>
      <c r="Z19" s="220">
        <v>2</v>
      </c>
      <c r="AA19" s="213">
        <v>5</v>
      </c>
      <c r="AB19" s="213">
        <v>0</v>
      </c>
      <c r="AC19" s="220">
        <v>1</v>
      </c>
      <c r="AD19" s="213">
        <v>4</v>
      </c>
      <c r="AE19" s="221">
        <f t="shared" ref="AE19:AE38" si="8" xml:space="preserve">  SUM(X19:AD19)</f>
        <v>13</v>
      </c>
    </row>
    <row r="20" spans="1:31" s="212" customFormat="1" ht="54" customHeight="1" x14ac:dyDescent="0.15">
      <c r="A20" s="211" t="s">
        <v>181</v>
      </c>
      <c r="B20" s="213">
        <v>0</v>
      </c>
      <c r="C20" s="213">
        <v>0</v>
      </c>
      <c r="D20" s="214">
        <f t="shared" si="3"/>
        <v>0</v>
      </c>
      <c r="E20" s="213">
        <v>0</v>
      </c>
      <c r="F20" s="213">
        <v>0</v>
      </c>
      <c r="G20" s="215">
        <v>5</v>
      </c>
      <c r="H20" s="215">
        <v>0</v>
      </c>
      <c r="I20" s="215">
        <v>3</v>
      </c>
      <c r="J20" s="215">
        <v>0</v>
      </c>
      <c r="K20" s="215">
        <v>1</v>
      </c>
      <c r="L20" s="215">
        <v>0</v>
      </c>
      <c r="M20" s="216">
        <f t="shared" si="4"/>
        <v>9</v>
      </c>
      <c r="N20" s="217">
        <v>2</v>
      </c>
      <c r="O20" s="217">
        <v>3</v>
      </c>
      <c r="P20" s="217">
        <v>1</v>
      </c>
      <c r="Q20" s="217">
        <v>1</v>
      </c>
      <c r="R20" s="217">
        <v>5</v>
      </c>
      <c r="S20" s="217">
        <v>0</v>
      </c>
      <c r="T20" s="217">
        <v>2</v>
      </c>
      <c r="U20" s="218">
        <f t="shared" si="5"/>
        <v>10</v>
      </c>
      <c r="V20" s="219">
        <f t="shared" si="6"/>
        <v>6</v>
      </c>
      <c r="W20" s="219">
        <f t="shared" si="7"/>
        <v>16</v>
      </c>
      <c r="X20" s="213">
        <v>1</v>
      </c>
      <c r="Y20" s="220">
        <v>1</v>
      </c>
      <c r="Z20" s="220">
        <v>0</v>
      </c>
      <c r="AA20" s="213">
        <v>5</v>
      </c>
      <c r="AB20" s="213">
        <v>0</v>
      </c>
      <c r="AC20" s="220">
        <v>3</v>
      </c>
      <c r="AD20" s="213">
        <v>3</v>
      </c>
      <c r="AE20" s="221">
        <f t="shared" si="8"/>
        <v>13</v>
      </c>
    </row>
    <row r="21" spans="1:31" s="212" customFormat="1" ht="54" customHeight="1" x14ac:dyDescent="0.15">
      <c r="A21" s="211" t="s">
        <v>180</v>
      </c>
      <c r="B21" s="213">
        <v>0</v>
      </c>
      <c r="C21" s="213">
        <v>1</v>
      </c>
      <c r="D21" s="214">
        <f t="shared" si="3"/>
        <v>1</v>
      </c>
      <c r="E21" s="213">
        <v>0</v>
      </c>
      <c r="F21" s="213">
        <v>0</v>
      </c>
      <c r="G21" s="215">
        <v>3</v>
      </c>
      <c r="H21" s="215">
        <v>0</v>
      </c>
      <c r="I21" s="215">
        <v>3</v>
      </c>
      <c r="J21" s="215">
        <v>0</v>
      </c>
      <c r="K21" s="215">
        <v>0</v>
      </c>
      <c r="L21" s="215">
        <v>0</v>
      </c>
      <c r="M21" s="216">
        <f t="shared" si="4"/>
        <v>6</v>
      </c>
      <c r="N21" s="217">
        <v>3</v>
      </c>
      <c r="O21" s="217">
        <v>3</v>
      </c>
      <c r="P21" s="217">
        <v>0</v>
      </c>
      <c r="Q21" s="217">
        <v>0</v>
      </c>
      <c r="R21" s="217">
        <v>3</v>
      </c>
      <c r="S21" s="217">
        <v>0</v>
      </c>
      <c r="T21" s="217">
        <v>3</v>
      </c>
      <c r="U21" s="218">
        <f t="shared" si="5"/>
        <v>6</v>
      </c>
      <c r="V21" s="219">
        <f t="shared" si="6"/>
        <v>7</v>
      </c>
      <c r="W21" s="219">
        <f t="shared" si="7"/>
        <v>13</v>
      </c>
      <c r="X21" s="213">
        <v>1</v>
      </c>
      <c r="Y21" s="220">
        <v>0</v>
      </c>
      <c r="Z21" s="220">
        <v>0</v>
      </c>
      <c r="AA21" s="213">
        <v>5</v>
      </c>
      <c r="AB21" s="213">
        <v>0</v>
      </c>
      <c r="AC21" s="220">
        <v>1</v>
      </c>
      <c r="AD21" s="213">
        <v>4</v>
      </c>
      <c r="AE21" s="221">
        <f t="shared" si="8"/>
        <v>11</v>
      </c>
    </row>
    <row r="22" spans="1:31" s="212" customFormat="1" ht="54" customHeight="1" x14ac:dyDescent="0.15">
      <c r="A22" s="211" t="s">
        <v>169</v>
      </c>
      <c r="B22" s="213">
        <v>0</v>
      </c>
      <c r="C22" s="213">
        <v>0</v>
      </c>
      <c r="D22" s="214">
        <f t="shared" si="3"/>
        <v>0</v>
      </c>
      <c r="E22" s="213">
        <v>0</v>
      </c>
      <c r="F22" s="213">
        <v>0</v>
      </c>
      <c r="G22" s="215">
        <v>3</v>
      </c>
      <c r="H22" s="215">
        <v>0</v>
      </c>
      <c r="I22" s="215">
        <v>3</v>
      </c>
      <c r="J22" s="215">
        <v>0</v>
      </c>
      <c r="K22" s="215">
        <v>1</v>
      </c>
      <c r="L22" s="215">
        <v>0</v>
      </c>
      <c r="M22" s="216">
        <f t="shared" si="4"/>
        <v>7</v>
      </c>
      <c r="N22" s="217">
        <v>3</v>
      </c>
      <c r="O22" s="217">
        <v>4</v>
      </c>
      <c r="P22" s="217">
        <v>0</v>
      </c>
      <c r="Q22" s="217">
        <v>0</v>
      </c>
      <c r="R22" s="217">
        <v>4</v>
      </c>
      <c r="S22" s="217">
        <v>0</v>
      </c>
      <c r="T22" s="217">
        <v>0</v>
      </c>
      <c r="U22" s="218">
        <f t="shared" si="5"/>
        <v>6</v>
      </c>
      <c r="V22" s="219">
        <f t="shared" si="6"/>
        <v>8</v>
      </c>
      <c r="W22" s="219">
        <f t="shared" si="7"/>
        <v>14</v>
      </c>
      <c r="X22" s="213">
        <v>5</v>
      </c>
      <c r="Y22" s="220">
        <v>0</v>
      </c>
      <c r="Z22" s="220">
        <v>0</v>
      </c>
      <c r="AA22" s="213">
        <v>4</v>
      </c>
      <c r="AB22" s="213">
        <v>0</v>
      </c>
      <c r="AC22" s="220">
        <v>1</v>
      </c>
      <c r="AD22" s="213">
        <v>3</v>
      </c>
      <c r="AE22" s="221">
        <f t="shared" si="8"/>
        <v>13</v>
      </c>
    </row>
    <row r="23" spans="1:31" s="212" customFormat="1" ht="54" customHeight="1" x14ac:dyDescent="0.15">
      <c r="A23" s="211" t="s">
        <v>184</v>
      </c>
      <c r="B23" s="213">
        <v>1</v>
      </c>
      <c r="C23" s="213">
        <v>0</v>
      </c>
      <c r="D23" s="214">
        <f t="shared" si="3"/>
        <v>1</v>
      </c>
      <c r="E23" s="213">
        <v>0</v>
      </c>
      <c r="F23" s="213">
        <v>0</v>
      </c>
      <c r="G23" s="215">
        <v>2</v>
      </c>
      <c r="H23" s="215">
        <v>0</v>
      </c>
      <c r="I23" s="215">
        <v>2</v>
      </c>
      <c r="J23" s="215">
        <v>0</v>
      </c>
      <c r="K23" s="215">
        <v>1</v>
      </c>
      <c r="L23" s="215">
        <v>0</v>
      </c>
      <c r="M23" s="216">
        <f t="shared" si="4"/>
        <v>5</v>
      </c>
      <c r="N23" s="217">
        <v>2</v>
      </c>
      <c r="O23" s="217">
        <v>2</v>
      </c>
      <c r="P23" s="217">
        <v>1</v>
      </c>
      <c r="Q23" s="217">
        <v>1</v>
      </c>
      <c r="R23" s="217">
        <v>5</v>
      </c>
      <c r="S23" s="217">
        <v>0</v>
      </c>
      <c r="T23" s="217">
        <v>2</v>
      </c>
      <c r="U23" s="218">
        <f t="shared" si="5"/>
        <v>7</v>
      </c>
      <c r="V23" s="219">
        <f t="shared" si="6"/>
        <v>5</v>
      </c>
      <c r="W23" s="219">
        <f t="shared" si="7"/>
        <v>12</v>
      </c>
      <c r="X23" s="213">
        <v>2</v>
      </c>
      <c r="Y23" s="220">
        <v>0</v>
      </c>
      <c r="Z23" s="220">
        <v>0</v>
      </c>
      <c r="AA23" s="213">
        <v>6</v>
      </c>
      <c r="AB23" s="213">
        <v>0</v>
      </c>
      <c r="AC23" s="220">
        <v>2</v>
      </c>
      <c r="AD23" s="213">
        <v>5</v>
      </c>
      <c r="AE23" s="221">
        <f t="shared" si="8"/>
        <v>15</v>
      </c>
    </row>
    <row r="24" spans="1:31" s="212" customFormat="1" ht="54" customHeight="1" x14ac:dyDescent="0.15">
      <c r="A24" s="211" t="s">
        <v>186</v>
      </c>
      <c r="B24" s="213">
        <v>0</v>
      </c>
      <c r="C24" s="213">
        <v>1</v>
      </c>
      <c r="D24" s="214">
        <f t="shared" si="3"/>
        <v>1</v>
      </c>
      <c r="E24" s="213">
        <v>0</v>
      </c>
      <c r="F24" s="213">
        <v>0</v>
      </c>
      <c r="G24" s="215">
        <v>3</v>
      </c>
      <c r="H24" s="215">
        <v>0</v>
      </c>
      <c r="I24" s="215">
        <v>3</v>
      </c>
      <c r="J24" s="215">
        <v>0</v>
      </c>
      <c r="K24" s="215">
        <v>1</v>
      </c>
      <c r="L24" s="215">
        <v>0</v>
      </c>
      <c r="M24" s="216">
        <f t="shared" si="4"/>
        <v>7</v>
      </c>
      <c r="N24" s="217">
        <v>2</v>
      </c>
      <c r="O24" s="217">
        <v>2</v>
      </c>
      <c r="P24" s="217">
        <v>2</v>
      </c>
      <c r="Q24" s="217">
        <v>2</v>
      </c>
      <c r="R24" s="217">
        <v>2</v>
      </c>
      <c r="S24" s="217">
        <v>0</v>
      </c>
      <c r="T24" s="217">
        <v>4</v>
      </c>
      <c r="U24" s="218">
        <f t="shared" si="5"/>
        <v>10</v>
      </c>
      <c r="V24" s="219">
        <f t="shared" si="6"/>
        <v>6</v>
      </c>
      <c r="W24" s="219">
        <f t="shared" si="7"/>
        <v>16</v>
      </c>
      <c r="X24" s="213">
        <v>2</v>
      </c>
      <c r="Y24" s="220">
        <v>0</v>
      </c>
      <c r="Z24" s="220">
        <v>1</v>
      </c>
      <c r="AA24" s="213">
        <v>6</v>
      </c>
      <c r="AB24" s="213">
        <v>0</v>
      </c>
      <c r="AC24" s="220">
        <v>2</v>
      </c>
      <c r="AD24" s="213">
        <v>4</v>
      </c>
      <c r="AE24" s="221">
        <f t="shared" si="8"/>
        <v>15</v>
      </c>
    </row>
    <row r="25" spans="1:31" s="212" customFormat="1" ht="54" customHeight="1" x14ac:dyDescent="0.15">
      <c r="A25" s="211" t="s">
        <v>185</v>
      </c>
      <c r="B25" s="213">
        <v>0</v>
      </c>
      <c r="C25" s="213">
        <v>0</v>
      </c>
      <c r="D25" s="214">
        <f t="shared" si="3"/>
        <v>0</v>
      </c>
      <c r="E25" s="213">
        <v>0</v>
      </c>
      <c r="F25" s="213">
        <v>0</v>
      </c>
      <c r="G25" s="215">
        <v>2</v>
      </c>
      <c r="H25" s="215">
        <v>0</v>
      </c>
      <c r="I25" s="215">
        <v>2</v>
      </c>
      <c r="J25" s="215">
        <v>0</v>
      </c>
      <c r="K25" s="215">
        <v>1</v>
      </c>
      <c r="L25" s="215">
        <v>1</v>
      </c>
      <c r="M25" s="216">
        <f t="shared" si="4"/>
        <v>6</v>
      </c>
      <c r="N25" s="217">
        <v>2</v>
      </c>
      <c r="O25" s="217">
        <v>2</v>
      </c>
      <c r="P25" s="217">
        <v>2</v>
      </c>
      <c r="Q25" s="217">
        <v>1</v>
      </c>
      <c r="R25" s="217">
        <v>0</v>
      </c>
      <c r="S25" s="217">
        <v>0</v>
      </c>
      <c r="T25" s="217">
        <v>4</v>
      </c>
      <c r="U25" s="218">
        <f t="shared" si="5"/>
        <v>8</v>
      </c>
      <c r="V25" s="219">
        <f t="shared" si="6"/>
        <v>5</v>
      </c>
      <c r="W25" s="219">
        <f t="shared" si="7"/>
        <v>13</v>
      </c>
      <c r="X25" s="213">
        <v>3</v>
      </c>
      <c r="Y25" s="220">
        <v>0</v>
      </c>
      <c r="Z25" s="220">
        <v>2</v>
      </c>
      <c r="AA25" s="213">
        <v>4</v>
      </c>
      <c r="AB25" s="213">
        <v>0</v>
      </c>
      <c r="AC25" s="220">
        <v>0</v>
      </c>
      <c r="AD25" s="213">
        <v>4</v>
      </c>
      <c r="AE25" s="221">
        <f t="shared" si="8"/>
        <v>13</v>
      </c>
    </row>
    <row r="26" spans="1:31" s="212" customFormat="1" ht="54" customHeight="1" x14ac:dyDescent="0.15">
      <c r="A26" s="211" t="s">
        <v>187</v>
      </c>
      <c r="B26" s="213">
        <v>0</v>
      </c>
      <c r="C26" s="213">
        <v>0</v>
      </c>
      <c r="D26" s="214">
        <f t="shared" si="3"/>
        <v>0</v>
      </c>
      <c r="E26" s="213">
        <v>0</v>
      </c>
      <c r="F26" s="213">
        <v>0</v>
      </c>
      <c r="G26" s="215">
        <v>2</v>
      </c>
      <c r="H26" s="215">
        <v>0</v>
      </c>
      <c r="I26" s="215">
        <v>2</v>
      </c>
      <c r="J26" s="215">
        <v>0</v>
      </c>
      <c r="K26" s="215">
        <v>2</v>
      </c>
      <c r="L26" s="215">
        <v>1</v>
      </c>
      <c r="M26" s="216">
        <f t="shared" si="4"/>
        <v>7</v>
      </c>
      <c r="N26" s="217">
        <v>1</v>
      </c>
      <c r="O26" s="217">
        <v>2</v>
      </c>
      <c r="P26" s="217">
        <v>1</v>
      </c>
      <c r="Q26" s="217">
        <v>1</v>
      </c>
      <c r="R26" s="217">
        <v>5</v>
      </c>
      <c r="S26" s="217">
        <v>0</v>
      </c>
      <c r="T26" s="217">
        <v>2</v>
      </c>
      <c r="U26" s="218">
        <f t="shared" si="5"/>
        <v>7</v>
      </c>
      <c r="V26" s="219">
        <f t="shared" si="6"/>
        <v>5</v>
      </c>
      <c r="W26" s="219">
        <f t="shared" si="7"/>
        <v>12</v>
      </c>
      <c r="X26" s="213">
        <v>3</v>
      </c>
      <c r="Y26" s="220">
        <v>0</v>
      </c>
      <c r="Z26" s="220">
        <v>0</v>
      </c>
      <c r="AA26" s="213">
        <v>5</v>
      </c>
      <c r="AB26" s="213">
        <v>0</v>
      </c>
      <c r="AC26" s="220">
        <v>2</v>
      </c>
      <c r="AD26" s="213">
        <v>0</v>
      </c>
      <c r="AE26" s="221">
        <f t="shared" si="8"/>
        <v>10</v>
      </c>
    </row>
    <row r="27" spans="1:31" s="212" customFormat="1" ht="54" customHeight="1" x14ac:dyDescent="0.15">
      <c r="A27" s="211" t="s">
        <v>192</v>
      </c>
      <c r="B27" s="213">
        <v>0</v>
      </c>
      <c r="C27" s="213">
        <v>1</v>
      </c>
      <c r="D27" s="214">
        <f t="shared" si="3"/>
        <v>1</v>
      </c>
      <c r="E27" s="213">
        <v>0</v>
      </c>
      <c r="F27" s="213">
        <v>0</v>
      </c>
      <c r="G27" s="215">
        <v>1</v>
      </c>
      <c r="H27" s="215">
        <v>0</v>
      </c>
      <c r="I27" s="215">
        <v>1</v>
      </c>
      <c r="J27" s="215">
        <v>0</v>
      </c>
      <c r="K27" s="215">
        <v>1</v>
      </c>
      <c r="L27" s="215">
        <v>0</v>
      </c>
      <c r="M27" s="216">
        <f t="shared" si="4"/>
        <v>3</v>
      </c>
      <c r="N27" s="217">
        <v>1</v>
      </c>
      <c r="O27" s="217">
        <v>2</v>
      </c>
      <c r="P27" s="217">
        <v>0</v>
      </c>
      <c r="Q27" s="217">
        <v>1</v>
      </c>
      <c r="R27" s="217">
        <v>5</v>
      </c>
      <c r="S27" s="217">
        <v>0</v>
      </c>
      <c r="T27" s="217">
        <v>1</v>
      </c>
      <c r="U27" s="218">
        <f t="shared" si="5"/>
        <v>3</v>
      </c>
      <c r="V27" s="219">
        <f t="shared" si="6"/>
        <v>5</v>
      </c>
      <c r="W27" s="219">
        <f t="shared" si="7"/>
        <v>8</v>
      </c>
      <c r="X27" s="213">
        <v>2</v>
      </c>
      <c r="Y27" s="220">
        <v>0</v>
      </c>
      <c r="Z27" s="220">
        <v>1</v>
      </c>
      <c r="AA27" s="213">
        <v>8</v>
      </c>
      <c r="AB27" s="213">
        <v>0</v>
      </c>
      <c r="AC27" s="220">
        <v>0</v>
      </c>
      <c r="AD27" s="213">
        <v>6</v>
      </c>
      <c r="AE27" s="221">
        <f t="shared" si="8"/>
        <v>17</v>
      </c>
    </row>
    <row r="28" spans="1:31" s="212" customFormat="1" ht="54" customHeight="1" x14ac:dyDescent="0.15">
      <c r="A28" s="211" t="s">
        <v>195</v>
      </c>
      <c r="B28" s="213">
        <v>0</v>
      </c>
      <c r="C28" s="213">
        <v>0</v>
      </c>
      <c r="D28" s="214">
        <f t="shared" si="3"/>
        <v>0</v>
      </c>
      <c r="E28" s="213">
        <v>0</v>
      </c>
      <c r="F28" s="213">
        <v>0</v>
      </c>
      <c r="G28" s="215">
        <v>3</v>
      </c>
      <c r="H28" s="215">
        <v>0</v>
      </c>
      <c r="I28" s="215">
        <v>0</v>
      </c>
      <c r="J28" s="215">
        <v>0</v>
      </c>
      <c r="K28" s="215">
        <v>1</v>
      </c>
      <c r="L28" s="215">
        <v>1</v>
      </c>
      <c r="M28" s="216">
        <f t="shared" si="4"/>
        <v>5</v>
      </c>
      <c r="N28" s="217">
        <v>2</v>
      </c>
      <c r="O28" s="217">
        <v>2</v>
      </c>
      <c r="P28" s="217">
        <v>0</v>
      </c>
      <c r="Q28" s="217">
        <v>2</v>
      </c>
      <c r="R28" s="217">
        <v>5</v>
      </c>
      <c r="S28" s="217">
        <v>0</v>
      </c>
      <c r="T28" s="217">
        <v>4</v>
      </c>
      <c r="U28" s="218">
        <f t="shared" si="5"/>
        <v>6</v>
      </c>
      <c r="V28" s="219">
        <f t="shared" si="6"/>
        <v>5</v>
      </c>
      <c r="W28" s="219">
        <f t="shared" si="7"/>
        <v>11</v>
      </c>
      <c r="X28" s="213">
        <v>5</v>
      </c>
      <c r="Y28" s="220">
        <v>0</v>
      </c>
      <c r="Z28" s="220">
        <v>1</v>
      </c>
      <c r="AA28" s="213">
        <v>1</v>
      </c>
      <c r="AB28" s="213">
        <v>0</v>
      </c>
      <c r="AC28" s="220">
        <v>1</v>
      </c>
      <c r="AD28" s="213">
        <v>7</v>
      </c>
      <c r="AE28" s="221">
        <f t="shared" si="8"/>
        <v>15</v>
      </c>
    </row>
    <row r="29" spans="1:31" s="212" customFormat="1" ht="54" customHeight="1" x14ac:dyDescent="0.15">
      <c r="A29" s="211" t="s">
        <v>193</v>
      </c>
      <c r="B29" s="213">
        <v>1</v>
      </c>
      <c r="C29" s="213">
        <v>0</v>
      </c>
      <c r="D29" s="214">
        <f t="shared" si="3"/>
        <v>1</v>
      </c>
      <c r="E29" s="213">
        <v>0</v>
      </c>
      <c r="F29" s="213">
        <v>0</v>
      </c>
      <c r="G29" s="215">
        <v>1</v>
      </c>
      <c r="H29" s="215">
        <v>0</v>
      </c>
      <c r="I29" s="215">
        <v>0</v>
      </c>
      <c r="J29" s="215">
        <v>0</v>
      </c>
      <c r="K29" s="215">
        <v>1</v>
      </c>
      <c r="L29" s="215">
        <v>0</v>
      </c>
      <c r="M29" s="216">
        <f t="shared" si="4"/>
        <v>2</v>
      </c>
      <c r="N29" s="217">
        <v>1</v>
      </c>
      <c r="O29" s="217">
        <v>3</v>
      </c>
      <c r="P29" s="217">
        <v>1</v>
      </c>
      <c r="Q29" s="217">
        <v>0</v>
      </c>
      <c r="R29" s="217">
        <v>4</v>
      </c>
      <c r="S29" s="217">
        <v>0</v>
      </c>
      <c r="T29" s="217">
        <v>1</v>
      </c>
      <c r="U29" s="218">
        <f t="shared" si="5"/>
        <v>3</v>
      </c>
      <c r="V29" s="219">
        <f t="shared" si="6"/>
        <v>5</v>
      </c>
      <c r="W29" s="219">
        <f t="shared" si="7"/>
        <v>8</v>
      </c>
      <c r="X29" s="213">
        <v>0</v>
      </c>
      <c r="Y29" s="220">
        <v>0</v>
      </c>
      <c r="Z29" s="220">
        <v>1</v>
      </c>
      <c r="AA29" s="213">
        <v>7</v>
      </c>
      <c r="AB29" s="213">
        <v>0</v>
      </c>
      <c r="AC29" s="220">
        <v>0</v>
      </c>
      <c r="AD29" s="213">
        <v>4</v>
      </c>
      <c r="AE29" s="221">
        <f t="shared" si="8"/>
        <v>12</v>
      </c>
    </row>
    <row r="30" spans="1:31" s="212" customFormat="1" ht="54" customHeight="1" x14ac:dyDescent="0.15">
      <c r="A30" s="211" t="s">
        <v>201</v>
      </c>
      <c r="B30" s="213">
        <v>1</v>
      </c>
      <c r="C30" s="213">
        <v>0</v>
      </c>
      <c r="D30" s="214">
        <f t="shared" si="3"/>
        <v>1</v>
      </c>
      <c r="E30" s="213">
        <v>0</v>
      </c>
      <c r="F30" s="213">
        <v>0</v>
      </c>
      <c r="G30" s="215">
        <v>1</v>
      </c>
      <c r="H30" s="215">
        <v>0</v>
      </c>
      <c r="I30" s="215">
        <v>0</v>
      </c>
      <c r="J30" s="215">
        <v>0</v>
      </c>
      <c r="K30" s="215">
        <v>1</v>
      </c>
      <c r="L30" s="215">
        <v>0</v>
      </c>
      <c r="M30" s="216">
        <f t="shared" si="4"/>
        <v>2</v>
      </c>
      <c r="N30" s="217">
        <v>1</v>
      </c>
      <c r="O30" s="217">
        <v>2</v>
      </c>
      <c r="P30" s="217">
        <v>1</v>
      </c>
      <c r="Q30" s="217">
        <v>2</v>
      </c>
      <c r="R30" s="217">
        <v>5</v>
      </c>
      <c r="S30" s="217">
        <v>0</v>
      </c>
      <c r="T30" s="217">
        <v>3</v>
      </c>
      <c r="U30" s="218">
        <f t="shared" si="5"/>
        <v>5</v>
      </c>
      <c r="V30" s="219">
        <f t="shared" si="6"/>
        <v>4</v>
      </c>
      <c r="W30" s="219">
        <f t="shared" si="7"/>
        <v>9</v>
      </c>
      <c r="X30" s="213">
        <v>3</v>
      </c>
      <c r="Y30" s="220">
        <v>1</v>
      </c>
      <c r="Z30" s="220">
        <v>0</v>
      </c>
      <c r="AA30" s="213">
        <v>3</v>
      </c>
      <c r="AB30" s="213">
        <v>0</v>
      </c>
      <c r="AC30" s="220">
        <v>1</v>
      </c>
      <c r="AD30" s="213">
        <v>7</v>
      </c>
      <c r="AE30" s="221">
        <f t="shared" si="8"/>
        <v>15</v>
      </c>
    </row>
    <row r="31" spans="1:31" s="212" customFormat="1" ht="54" customHeight="1" x14ac:dyDescent="0.15">
      <c r="A31" s="211" t="s">
        <v>205</v>
      </c>
      <c r="B31" s="213">
        <v>0</v>
      </c>
      <c r="C31" s="213">
        <v>0</v>
      </c>
      <c r="D31" s="214">
        <f t="shared" si="3"/>
        <v>0</v>
      </c>
      <c r="E31" s="213">
        <v>0</v>
      </c>
      <c r="F31" s="213">
        <v>0</v>
      </c>
      <c r="G31" s="215">
        <v>2</v>
      </c>
      <c r="H31" s="215">
        <v>0</v>
      </c>
      <c r="I31" s="215">
        <v>1</v>
      </c>
      <c r="J31" s="215">
        <v>2</v>
      </c>
      <c r="K31" s="215">
        <v>1</v>
      </c>
      <c r="L31" s="215">
        <v>1</v>
      </c>
      <c r="M31" s="216">
        <f t="shared" si="4"/>
        <v>7</v>
      </c>
      <c r="N31" s="217">
        <v>2</v>
      </c>
      <c r="O31" s="217">
        <v>1</v>
      </c>
      <c r="P31" s="217">
        <v>2</v>
      </c>
      <c r="Q31" s="217">
        <v>1</v>
      </c>
      <c r="R31" s="217">
        <v>5</v>
      </c>
      <c r="S31" s="217">
        <v>0</v>
      </c>
      <c r="T31" s="217">
        <v>3</v>
      </c>
      <c r="U31" s="218">
        <f t="shared" si="5"/>
        <v>9</v>
      </c>
      <c r="V31" s="219">
        <f t="shared" si="6"/>
        <v>4</v>
      </c>
      <c r="W31" s="219">
        <f t="shared" si="7"/>
        <v>13</v>
      </c>
      <c r="X31" s="213">
        <v>1</v>
      </c>
      <c r="Y31" s="220">
        <v>0</v>
      </c>
      <c r="Z31" s="220">
        <v>1</v>
      </c>
      <c r="AA31" s="213">
        <v>8</v>
      </c>
      <c r="AB31" s="213">
        <v>0</v>
      </c>
      <c r="AC31" s="220">
        <v>0</v>
      </c>
      <c r="AD31" s="213">
        <v>6</v>
      </c>
      <c r="AE31" s="221">
        <f t="shared" si="8"/>
        <v>16</v>
      </c>
    </row>
    <row r="32" spans="1:31" s="212" customFormat="1" ht="54" customHeight="1" x14ac:dyDescent="0.15">
      <c r="A32" s="211" t="s">
        <v>204</v>
      </c>
      <c r="B32" s="213">
        <v>0</v>
      </c>
      <c r="C32" s="213">
        <v>0</v>
      </c>
      <c r="D32" s="214">
        <f t="shared" si="3"/>
        <v>0</v>
      </c>
      <c r="E32" s="213">
        <v>0</v>
      </c>
      <c r="F32" s="213">
        <v>0</v>
      </c>
      <c r="G32" s="215">
        <v>3</v>
      </c>
      <c r="H32" s="215">
        <v>0</v>
      </c>
      <c r="I32" s="215">
        <v>3</v>
      </c>
      <c r="J32" s="215">
        <v>0</v>
      </c>
      <c r="K32" s="215">
        <v>1</v>
      </c>
      <c r="L32" s="215">
        <v>2</v>
      </c>
      <c r="M32" s="216">
        <f t="shared" si="4"/>
        <v>9</v>
      </c>
      <c r="N32" s="217">
        <v>2</v>
      </c>
      <c r="O32" s="217">
        <v>2</v>
      </c>
      <c r="P32" s="217">
        <v>0</v>
      </c>
      <c r="Q32" s="217">
        <v>1</v>
      </c>
      <c r="R32" s="217">
        <v>5</v>
      </c>
      <c r="S32" s="217">
        <v>0</v>
      </c>
      <c r="T32" s="217">
        <v>3</v>
      </c>
      <c r="U32" s="218">
        <f t="shared" si="5"/>
        <v>9</v>
      </c>
      <c r="V32" s="219">
        <f t="shared" si="6"/>
        <v>5</v>
      </c>
      <c r="W32" s="219">
        <f t="shared" si="7"/>
        <v>14</v>
      </c>
      <c r="X32" s="213">
        <v>0</v>
      </c>
      <c r="Y32" s="220">
        <v>1</v>
      </c>
      <c r="Z32" s="220">
        <v>1</v>
      </c>
      <c r="AA32" s="213">
        <v>8</v>
      </c>
      <c r="AB32" s="213">
        <v>0</v>
      </c>
      <c r="AC32" s="220">
        <v>1</v>
      </c>
      <c r="AD32" s="213">
        <v>6</v>
      </c>
      <c r="AE32" s="221">
        <f t="shared" si="8"/>
        <v>17</v>
      </c>
    </row>
    <row r="33" spans="1:31" s="212" customFormat="1" ht="54" customHeight="1" x14ac:dyDescent="0.15">
      <c r="A33" s="211" t="s">
        <v>206</v>
      </c>
      <c r="B33" s="213">
        <v>0</v>
      </c>
      <c r="C33" s="213">
        <v>0</v>
      </c>
      <c r="D33" s="214">
        <f t="shared" si="3"/>
        <v>0</v>
      </c>
      <c r="E33" s="213">
        <v>0</v>
      </c>
      <c r="F33" s="213">
        <v>0</v>
      </c>
      <c r="G33" s="215">
        <v>3</v>
      </c>
      <c r="H33" s="215">
        <v>0</v>
      </c>
      <c r="I33" s="215">
        <v>2</v>
      </c>
      <c r="J33" s="215">
        <v>0</v>
      </c>
      <c r="K33" s="215">
        <v>1</v>
      </c>
      <c r="L33" s="215">
        <v>1</v>
      </c>
      <c r="M33" s="216">
        <f t="shared" si="4"/>
        <v>7</v>
      </c>
      <c r="N33" s="217">
        <v>1</v>
      </c>
      <c r="O33" s="217">
        <v>2</v>
      </c>
      <c r="P33" s="217">
        <v>1</v>
      </c>
      <c r="Q33" s="217">
        <v>2</v>
      </c>
      <c r="R33" s="217">
        <v>4</v>
      </c>
      <c r="S33" s="217">
        <v>0</v>
      </c>
      <c r="T33" s="217">
        <v>3</v>
      </c>
      <c r="U33" s="218">
        <f t="shared" si="5"/>
        <v>9</v>
      </c>
      <c r="V33" s="219">
        <f t="shared" si="6"/>
        <v>4</v>
      </c>
      <c r="W33" s="219">
        <f t="shared" si="7"/>
        <v>13</v>
      </c>
      <c r="X33" s="213">
        <v>0</v>
      </c>
      <c r="Y33" s="220">
        <v>0</v>
      </c>
      <c r="Z33" s="220">
        <v>1</v>
      </c>
      <c r="AA33" s="213">
        <v>6</v>
      </c>
      <c r="AB33" s="213">
        <v>0</v>
      </c>
      <c r="AC33" s="220">
        <v>2</v>
      </c>
      <c r="AD33" s="213">
        <v>4</v>
      </c>
      <c r="AE33" s="221">
        <f t="shared" si="8"/>
        <v>13</v>
      </c>
    </row>
    <row r="34" spans="1:31" s="212" customFormat="1" ht="54" customHeight="1" x14ac:dyDescent="0.15">
      <c r="A34" s="211" t="s">
        <v>209</v>
      </c>
      <c r="B34" s="213">
        <v>1</v>
      </c>
      <c r="C34" s="213">
        <v>0</v>
      </c>
      <c r="D34" s="214">
        <f t="shared" si="3"/>
        <v>1</v>
      </c>
      <c r="E34" s="213">
        <v>0</v>
      </c>
      <c r="F34" s="213">
        <v>0</v>
      </c>
      <c r="G34" s="215">
        <v>2</v>
      </c>
      <c r="H34" s="215">
        <v>0</v>
      </c>
      <c r="I34" s="215">
        <v>2</v>
      </c>
      <c r="J34" s="215">
        <v>0</v>
      </c>
      <c r="K34" s="215">
        <v>2</v>
      </c>
      <c r="L34" s="215">
        <v>2</v>
      </c>
      <c r="M34" s="216">
        <f t="shared" si="4"/>
        <v>8</v>
      </c>
      <c r="N34" s="217">
        <v>2</v>
      </c>
      <c r="O34" s="217">
        <v>2</v>
      </c>
      <c r="P34" s="217">
        <v>1</v>
      </c>
      <c r="Q34" s="217">
        <v>2</v>
      </c>
      <c r="R34" s="217">
        <v>6</v>
      </c>
      <c r="S34" s="217">
        <v>0</v>
      </c>
      <c r="T34" s="217">
        <v>3</v>
      </c>
      <c r="U34" s="218">
        <f t="shared" si="5"/>
        <v>10</v>
      </c>
      <c r="V34" s="219">
        <f t="shared" si="6"/>
        <v>6</v>
      </c>
      <c r="W34" s="219">
        <f t="shared" si="7"/>
        <v>16</v>
      </c>
      <c r="X34" s="213">
        <v>0</v>
      </c>
      <c r="Y34" s="220">
        <v>2</v>
      </c>
      <c r="Z34" s="220">
        <v>0</v>
      </c>
      <c r="AA34" s="213">
        <v>7</v>
      </c>
      <c r="AB34" s="213">
        <v>0</v>
      </c>
      <c r="AC34" s="220">
        <v>1</v>
      </c>
      <c r="AD34" s="213">
        <v>4</v>
      </c>
      <c r="AE34" s="221">
        <f t="shared" si="8"/>
        <v>14</v>
      </c>
    </row>
    <row r="35" spans="1:31" s="212" customFormat="1" ht="54" customHeight="1" x14ac:dyDescent="0.15">
      <c r="A35" s="211" t="s">
        <v>221</v>
      </c>
      <c r="B35" s="213">
        <v>0</v>
      </c>
      <c r="C35" s="213">
        <v>0</v>
      </c>
      <c r="D35" s="214">
        <f t="shared" si="3"/>
        <v>0</v>
      </c>
      <c r="E35" s="213">
        <v>0</v>
      </c>
      <c r="F35" s="213">
        <v>0</v>
      </c>
      <c r="G35" s="215">
        <v>2</v>
      </c>
      <c r="H35" s="215">
        <v>0</v>
      </c>
      <c r="I35" s="215">
        <v>2</v>
      </c>
      <c r="J35" s="215">
        <v>0</v>
      </c>
      <c r="K35" s="215">
        <v>2</v>
      </c>
      <c r="L35" s="215">
        <v>1</v>
      </c>
      <c r="M35" s="216">
        <f t="shared" si="4"/>
        <v>7</v>
      </c>
      <c r="N35" s="217">
        <v>1</v>
      </c>
      <c r="O35" s="217">
        <v>1</v>
      </c>
      <c r="P35" s="217">
        <v>2</v>
      </c>
      <c r="Q35" s="217">
        <v>1</v>
      </c>
      <c r="R35" s="217">
        <v>4</v>
      </c>
      <c r="S35" s="217">
        <v>0</v>
      </c>
      <c r="T35" s="217">
        <v>1</v>
      </c>
      <c r="U35" s="218">
        <f t="shared" si="5"/>
        <v>8</v>
      </c>
      <c r="V35" s="219">
        <f t="shared" si="6"/>
        <v>4</v>
      </c>
      <c r="W35" s="219">
        <f t="shared" si="7"/>
        <v>12</v>
      </c>
      <c r="X35" s="213">
        <v>1</v>
      </c>
      <c r="Y35" s="220">
        <v>1</v>
      </c>
      <c r="Z35" s="220">
        <v>0</v>
      </c>
      <c r="AA35" s="213">
        <v>8</v>
      </c>
      <c r="AB35" s="213">
        <v>0</v>
      </c>
      <c r="AC35" s="220">
        <v>0</v>
      </c>
      <c r="AD35" s="213">
        <v>5</v>
      </c>
      <c r="AE35" s="221">
        <f t="shared" si="8"/>
        <v>15</v>
      </c>
    </row>
    <row r="36" spans="1:31" s="212" customFormat="1" ht="54" customHeight="1" x14ac:dyDescent="0.15">
      <c r="A36" s="211" t="s">
        <v>232</v>
      </c>
      <c r="B36" s="213">
        <v>0</v>
      </c>
      <c r="C36" s="213">
        <v>0</v>
      </c>
      <c r="D36" s="214">
        <f t="shared" si="3"/>
        <v>0</v>
      </c>
      <c r="E36" s="213">
        <v>0</v>
      </c>
      <c r="F36" s="213">
        <v>0</v>
      </c>
      <c r="G36" s="215">
        <v>2</v>
      </c>
      <c r="H36" s="215">
        <v>0</v>
      </c>
      <c r="I36" s="215">
        <v>3</v>
      </c>
      <c r="J36" s="215">
        <v>0</v>
      </c>
      <c r="K36" s="215">
        <v>1</v>
      </c>
      <c r="L36" s="215">
        <v>0</v>
      </c>
      <c r="M36" s="216">
        <f t="shared" si="4"/>
        <v>6</v>
      </c>
      <c r="N36" s="217">
        <v>1</v>
      </c>
      <c r="O36" s="217">
        <v>3</v>
      </c>
      <c r="P36" s="217">
        <v>1</v>
      </c>
      <c r="Q36" s="217">
        <v>1</v>
      </c>
      <c r="R36" s="217">
        <v>5</v>
      </c>
      <c r="S36" s="217">
        <v>0</v>
      </c>
      <c r="T36" s="217">
        <v>1</v>
      </c>
      <c r="U36" s="218">
        <f t="shared" si="5"/>
        <v>7</v>
      </c>
      <c r="V36" s="219">
        <f t="shared" si="6"/>
        <v>5</v>
      </c>
      <c r="W36" s="219">
        <f t="shared" si="7"/>
        <v>12</v>
      </c>
      <c r="X36" s="213">
        <v>4</v>
      </c>
      <c r="Y36" s="220">
        <v>0</v>
      </c>
      <c r="Z36" s="220">
        <v>2</v>
      </c>
      <c r="AA36" s="213">
        <v>5</v>
      </c>
      <c r="AB36" s="213">
        <v>0</v>
      </c>
      <c r="AC36" s="220">
        <v>2</v>
      </c>
      <c r="AD36" s="213">
        <v>4</v>
      </c>
      <c r="AE36" s="221">
        <f t="shared" si="8"/>
        <v>17</v>
      </c>
    </row>
    <row r="37" spans="1:31" s="212" customFormat="1" ht="54" customHeight="1" x14ac:dyDescent="0.15">
      <c r="A37" s="211" t="s">
        <v>236</v>
      </c>
      <c r="B37" s="213">
        <v>0</v>
      </c>
      <c r="C37" s="213">
        <v>0</v>
      </c>
      <c r="D37" s="214">
        <f t="shared" si="3"/>
        <v>0</v>
      </c>
      <c r="E37" s="213">
        <v>0</v>
      </c>
      <c r="F37" s="213">
        <v>0</v>
      </c>
      <c r="G37" s="215">
        <v>1</v>
      </c>
      <c r="H37" s="215">
        <v>0</v>
      </c>
      <c r="I37" s="215">
        <v>2</v>
      </c>
      <c r="J37" s="215">
        <v>0</v>
      </c>
      <c r="K37" s="215">
        <v>1</v>
      </c>
      <c r="L37" s="215">
        <v>0</v>
      </c>
      <c r="M37" s="216">
        <f t="shared" si="4"/>
        <v>4</v>
      </c>
      <c r="N37" s="217">
        <v>2</v>
      </c>
      <c r="O37" s="217">
        <v>3</v>
      </c>
      <c r="P37" s="217">
        <v>1</v>
      </c>
      <c r="Q37" s="217">
        <v>3</v>
      </c>
      <c r="R37" s="217">
        <v>4</v>
      </c>
      <c r="S37" s="217">
        <v>0</v>
      </c>
      <c r="T37" s="217">
        <v>1</v>
      </c>
      <c r="U37" s="218">
        <f t="shared" si="5"/>
        <v>7</v>
      </c>
      <c r="V37" s="219">
        <f t="shared" si="6"/>
        <v>6</v>
      </c>
      <c r="W37" s="219">
        <f t="shared" si="7"/>
        <v>13</v>
      </c>
      <c r="X37" s="213">
        <v>3</v>
      </c>
      <c r="Y37" s="220">
        <v>0</v>
      </c>
      <c r="Z37" s="220">
        <v>1</v>
      </c>
      <c r="AA37" s="213">
        <v>3</v>
      </c>
      <c r="AB37" s="213">
        <v>0</v>
      </c>
      <c r="AC37" s="220">
        <v>0</v>
      </c>
      <c r="AD37" s="213">
        <v>6</v>
      </c>
      <c r="AE37" s="221">
        <f t="shared" si="8"/>
        <v>13</v>
      </c>
    </row>
    <row r="38" spans="1:31" s="212" customFormat="1" ht="54" customHeight="1" x14ac:dyDescent="0.15">
      <c r="A38" s="211" t="s">
        <v>247</v>
      </c>
      <c r="B38" s="213">
        <v>0</v>
      </c>
      <c r="C38" s="213">
        <v>0</v>
      </c>
      <c r="D38" s="214">
        <f t="shared" si="3"/>
        <v>0</v>
      </c>
      <c r="E38" s="213">
        <v>0</v>
      </c>
      <c r="F38" s="213">
        <v>0</v>
      </c>
      <c r="G38" s="215">
        <v>2</v>
      </c>
      <c r="H38" s="215">
        <v>0</v>
      </c>
      <c r="I38" s="215">
        <v>3</v>
      </c>
      <c r="J38" s="215">
        <v>0</v>
      </c>
      <c r="K38" s="215">
        <v>2</v>
      </c>
      <c r="L38" s="215">
        <v>1</v>
      </c>
      <c r="M38" s="216">
        <f t="shared" si="4"/>
        <v>8</v>
      </c>
      <c r="N38" s="217">
        <v>3</v>
      </c>
      <c r="O38" s="217">
        <v>2</v>
      </c>
      <c r="P38" s="217">
        <v>2</v>
      </c>
      <c r="Q38" s="217">
        <v>2</v>
      </c>
      <c r="R38" s="217">
        <v>4</v>
      </c>
      <c r="S38" s="217">
        <v>2</v>
      </c>
      <c r="T38" s="217">
        <v>3</v>
      </c>
      <c r="U38" s="218">
        <f t="shared" si="5"/>
        <v>10</v>
      </c>
      <c r="V38" s="219">
        <f t="shared" si="6"/>
        <v>7</v>
      </c>
      <c r="W38" s="219">
        <f t="shared" si="7"/>
        <v>17</v>
      </c>
      <c r="X38" s="213">
        <v>2</v>
      </c>
      <c r="Y38" s="220">
        <v>0</v>
      </c>
      <c r="Z38" s="220">
        <v>1</v>
      </c>
      <c r="AA38" s="213">
        <v>2</v>
      </c>
      <c r="AB38" s="213">
        <v>0</v>
      </c>
      <c r="AC38" s="220">
        <v>2</v>
      </c>
      <c r="AD38" s="213">
        <v>4</v>
      </c>
      <c r="AE38" s="221">
        <f t="shared" si="8"/>
        <v>11</v>
      </c>
    </row>
    <row r="39" spans="1:31" ht="56.25" customHeight="1" x14ac:dyDescent="0.15">
      <c r="A39" s="257" t="s">
        <v>5</v>
      </c>
      <c r="B39" s="258">
        <f>SUM(  B19:B38)</f>
        <v>4</v>
      </c>
      <c r="C39" s="258">
        <f t="shared" ref="C39:AE39" si="9">SUM(  C19:C38)</f>
        <v>3</v>
      </c>
      <c r="D39" s="258">
        <f t="shared" si="9"/>
        <v>7</v>
      </c>
      <c r="E39" s="258">
        <f t="shared" si="9"/>
        <v>0</v>
      </c>
      <c r="F39" s="258">
        <f t="shared" si="9"/>
        <v>0</v>
      </c>
      <c r="G39" s="258">
        <f t="shared" si="9"/>
        <v>46</v>
      </c>
      <c r="H39" s="258">
        <f t="shared" si="9"/>
        <v>0</v>
      </c>
      <c r="I39" s="258">
        <f t="shared" si="9"/>
        <v>39</v>
      </c>
      <c r="J39" s="258">
        <f t="shared" si="9"/>
        <v>2</v>
      </c>
      <c r="K39" s="258">
        <f t="shared" si="9"/>
        <v>23</v>
      </c>
      <c r="L39" s="258">
        <f t="shared" si="9"/>
        <v>13</v>
      </c>
      <c r="M39" s="258">
        <f t="shared" si="9"/>
        <v>123</v>
      </c>
      <c r="N39" s="258">
        <f t="shared" si="9"/>
        <v>37</v>
      </c>
      <c r="O39" s="258">
        <f t="shared" si="9"/>
        <v>47</v>
      </c>
      <c r="P39" s="258">
        <f t="shared" si="9"/>
        <v>20</v>
      </c>
      <c r="Q39" s="258">
        <f t="shared" si="9"/>
        <v>25</v>
      </c>
      <c r="R39" s="258">
        <f t="shared" si="9"/>
        <v>81</v>
      </c>
      <c r="S39" s="258">
        <f t="shared" si="9"/>
        <v>2</v>
      </c>
      <c r="T39" s="258">
        <f t="shared" si="9"/>
        <v>46</v>
      </c>
      <c r="U39" s="258">
        <f t="shared" si="9"/>
        <v>149</v>
      </c>
      <c r="V39" s="258">
        <f t="shared" si="9"/>
        <v>110</v>
      </c>
      <c r="W39" s="258">
        <f t="shared" si="9"/>
        <v>259</v>
      </c>
      <c r="X39" s="258">
        <f t="shared" si="9"/>
        <v>39</v>
      </c>
      <c r="Y39" s="258">
        <f t="shared" si="9"/>
        <v>6</v>
      </c>
      <c r="Z39" s="258">
        <f t="shared" si="9"/>
        <v>15</v>
      </c>
      <c r="AA39" s="258">
        <f t="shared" si="9"/>
        <v>106</v>
      </c>
      <c r="AB39" s="258">
        <f t="shared" si="9"/>
        <v>0</v>
      </c>
      <c r="AC39" s="258">
        <f t="shared" si="9"/>
        <v>22</v>
      </c>
      <c r="AD39" s="258">
        <f t="shared" si="9"/>
        <v>90</v>
      </c>
      <c r="AE39" s="258">
        <f t="shared" si="9"/>
        <v>278</v>
      </c>
    </row>
    <row r="40" spans="1:31" ht="69" customHeight="1" x14ac:dyDescent="0.35">
      <c r="A40" s="259" t="s">
        <v>39</v>
      </c>
      <c r="B40" s="260">
        <f>B39/20</f>
        <v>0.2</v>
      </c>
      <c r="C40" s="260">
        <f t="shared" ref="C40:AE40" si="10">C39/20</f>
        <v>0.15</v>
      </c>
      <c r="D40" s="260">
        <f t="shared" si="10"/>
        <v>0.35</v>
      </c>
      <c r="E40" s="260">
        <f t="shared" si="10"/>
        <v>0</v>
      </c>
      <c r="F40" s="260">
        <f t="shared" si="10"/>
        <v>0</v>
      </c>
      <c r="G40" s="260">
        <f t="shared" si="10"/>
        <v>2.2999999999999998</v>
      </c>
      <c r="H40" s="260">
        <f t="shared" si="10"/>
        <v>0</v>
      </c>
      <c r="I40" s="260">
        <f t="shared" si="10"/>
        <v>1.95</v>
      </c>
      <c r="J40" s="260">
        <f t="shared" si="10"/>
        <v>0.1</v>
      </c>
      <c r="K40" s="260">
        <f t="shared" si="10"/>
        <v>1.1499999999999999</v>
      </c>
      <c r="L40" s="260">
        <f t="shared" si="10"/>
        <v>0.65</v>
      </c>
      <c r="M40" s="260">
        <f t="shared" si="10"/>
        <v>6.15</v>
      </c>
      <c r="N40" s="260">
        <f t="shared" si="10"/>
        <v>1.85</v>
      </c>
      <c r="O40" s="260">
        <f t="shared" si="10"/>
        <v>2.35</v>
      </c>
      <c r="P40" s="260">
        <f t="shared" si="10"/>
        <v>1</v>
      </c>
      <c r="Q40" s="260">
        <f t="shared" si="10"/>
        <v>1.25</v>
      </c>
      <c r="R40" s="260">
        <f t="shared" si="10"/>
        <v>4.05</v>
      </c>
      <c r="S40" s="260">
        <f t="shared" si="10"/>
        <v>0.1</v>
      </c>
      <c r="T40" s="260">
        <f t="shared" si="10"/>
        <v>2.2999999999999998</v>
      </c>
      <c r="U40" s="260">
        <f t="shared" si="10"/>
        <v>7.45</v>
      </c>
      <c r="V40" s="260">
        <f t="shared" si="10"/>
        <v>5.5</v>
      </c>
      <c r="W40" s="260">
        <f t="shared" si="10"/>
        <v>12.95</v>
      </c>
      <c r="X40" s="260">
        <f t="shared" si="10"/>
        <v>1.95</v>
      </c>
      <c r="Y40" s="260">
        <f t="shared" si="10"/>
        <v>0.3</v>
      </c>
      <c r="Z40" s="260">
        <f t="shared" si="10"/>
        <v>0.75</v>
      </c>
      <c r="AA40" s="260">
        <f t="shared" si="10"/>
        <v>5.3</v>
      </c>
      <c r="AB40" s="260">
        <f t="shared" si="10"/>
        <v>0</v>
      </c>
      <c r="AC40" s="260">
        <f t="shared" si="10"/>
        <v>1.1000000000000001</v>
      </c>
      <c r="AD40" s="260">
        <f t="shared" si="10"/>
        <v>4.5</v>
      </c>
      <c r="AE40" s="260">
        <f t="shared" si="10"/>
        <v>13.9</v>
      </c>
    </row>
    <row r="41" spans="1:31" ht="48.75" customHeight="1" x14ac:dyDescent="0.25">
      <c r="A41" s="182" t="s">
        <v>54</v>
      </c>
      <c r="B41" s="24">
        <v>15</v>
      </c>
      <c r="C41" s="24">
        <v>15</v>
      </c>
      <c r="D41" s="27">
        <f>B41+C41</f>
        <v>30</v>
      </c>
      <c r="E41" s="28" t="s">
        <v>158</v>
      </c>
      <c r="F41" s="28"/>
      <c r="G41" s="28" t="s">
        <v>173</v>
      </c>
      <c r="H41" s="28"/>
      <c r="I41" s="28" t="s">
        <v>258</v>
      </c>
      <c r="J41" s="28" t="s">
        <v>174</v>
      </c>
      <c r="K41" s="28" t="s">
        <v>188</v>
      </c>
      <c r="L41" s="28" t="s">
        <v>211</v>
      </c>
      <c r="M41" s="25"/>
      <c r="N41" s="28" t="s">
        <v>175</v>
      </c>
      <c r="O41" s="28" t="s">
        <v>175</v>
      </c>
      <c r="P41" s="28" t="s">
        <v>172</v>
      </c>
      <c r="Q41" s="28" t="s">
        <v>173</v>
      </c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</row>
    <row r="42" spans="1:31" ht="42.75" customHeight="1" x14ac:dyDescent="0.25">
      <c r="A42" s="182" t="s">
        <v>55</v>
      </c>
      <c r="B42" s="29"/>
      <c r="C42" s="29"/>
      <c r="D42" s="26"/>
      <c r="E42" s="28" t="s">
        <v>158</v>
      </c>
      <c r="F42" s="30"/>
      <c r="G42" s="28" t="s">
        <v>188</v>
      </c>
      <c r="H42" s="28"/>
      <c r="I42" s="28" t="s">
        <v>230</v>
      </c>
      <c r="J42" s="31">
        <v>10</v>
      </c>
      <c r="K42" s="31">
        <v>60</v>
      </c>
      <c r="L42" s="31">
        <v>15</v>
      </c>
      <c r="M42" s="32"/>
      <c r="N42" s="28" t="s">
        <v>175</v>
      </c>
      <c r="O42" s="28" t="s">
        <v>175</v>
      </c>
      <c r="P42" s="28" t="s">
        <v>172</v>
      </c>
      <c r="Q42" s="28" t="s">
        <v>173</v>
      </c>
      <c r="R42" s="30"/>
      <c r="S42" s="30"/>
      <c r="T42" s="30"/>
      <c r="U42" s="30"/>
      <c r="V42" s="30"/>
      <c r="W42" s="30"/>
      <c r="X42" s="33"/>
      <c r="Y42" s="33"/>
      <c r="Z42" s="33"/>
      <c r="AA42" s="33"/>
      <c r="AB42" s="33"/>
      <c r="AC42" s="33"/>
      <c r="AD42" s="33"/>
      <c r="AE42" s="33"/>
    </row>
    <row r="43" spans="1:31" ht="56.25" customHeight="1" x14ac:dyDescent="0.25">
      <c r="A43" s="183" t="s">
        <v>53</v>
      </c>
      <c r="B43" s="167">
        <f t="shared" ref="B43:T43" si="11">B41/30</f>
        <v>0.5</v>
      </c>
      <c r="C43" s="167">
        <f t="shared" si="11"/>
        <v>0.5</v>
      </c>
      <c r="D43" s="167">
        <f t="shared" si="11"/>
        <v>1</v>
      </c>
      <c r="E43" s="167">
        <f t="shared" si="11"/>
        <v>0.16666666666666666</v>
      </c>
      <c r="F43" s="167">
        <f t="shared" si="11"/>
        <v>0</v>
      </c>
      <c r="G43" s="167">
        <f t="shared" si="11"/>
        <v>1.6666666666666667</v>
      </c>
      <c r="H43" s="167">
        <f t="shared" si="11"/>
        <v>0</v>
      </c>
      <c r="I43" s="167">
        <f t="shared" si="11"/>
        <v>1.0333333333333334</v>
      </c>
      <c r="J43" s="167">
        <f t="shared" si="11"/>
        <v>0.33333333333333331</v>
      </c>
      <c r="K43" s="167">
        <f t="shared" si="11"/>
        <v>2</v>
      </c>
      <c r="L43" s="167">
        <f t="shared" si="11"/>
        <v>0.5</v>
      </c>
      <c r="M43" s="167">
        <f t="shared" si="11"/>
        <v>0</v>
      </c>
      <c r="N43" s="167">
        <f t="shared" si="11"/>
        <v>5.333333333333333</v>
      </c>
      <c r="O43" s="167">
        <f t="shared" si="11"/>
        <v>5.333333333333333</v>
      </c>
      <c r="P43" s="167">
        <f t="shared" si="11"/>
        <v>1</v>
      </c>
      <c r="Q43" s="167">
        <f t="shared" si="11"/>
        <v>1.6666666666666667</v>
      </c>
      <c r="R43" s="167">
        <f t="shared" si="11"/>
        <v>0</v>
      </c>
      <c r="S43" s="167">
        <f t="shared" si="11"/>
        <v>0</v>
      </c>
      <c r="T43" s="167">
        <f t="shared" si="11"/>
        <v>0</v>
      </c>
      <c r="U43" s="167"/>
      <c r="V43" s="167"/>
      <c r="W43" s="167"/>
      <c r="X43" s="184"/>
      <c r="Y43" s="184"/>
      <c r="Z43" s="184"/>
      <c r="AA43" s="184"/>
      <c r="AB43" s="184"/>
      <c r="AC43" s="184"/>
      <c r="AD43" s="184"/>
      <c r="AE43" s="185"/>
    </row>
    <row r="44" spans="1:31" ht="22.5" x14ac:dyDescent="0.25">
      <c r="A44" s="186" t="s">
        <v>159</v>
      </c>
      <c r="B44" s="187"/>
      <c r="C44" s="187"/>
      <c r="D44" s="187"/>
      <c r="E44" s="187"/>
      <c r="F44" s="187"/>
      <c r="G44" s="187"/>
      <c r="H44" s="187"/>
      <c r="I44" s="188" t="str">
        <f>AB1</f>
        <v>20.09.2026</v>
      </c>
      <c r="J44" s="188"/>
      <c r="K44" s="188"/>
      <c r="L44" s="188"/>
      <c r="M44" s="189" t="s">
        <v>160</v>
      </c>
      <c r="N44" s="190"/>
      <c r="O44" s="191"/>
      <c r="P44" s="191"/>
      <c r="Q44" s="191"/>
      <c r="R44" s="191"/>
      <c r="S44" s="191"/>
      <c r="T44" s="191"/>
      <c r="U44" s="104"/>
      <c r="V44" s="192"/>
      <c r="W44" s="192"/>
      <c r="X44" s="192"/>
      <c r="Y44" s="192"/>
      <c r="Z44" s="192"/>
      <c r="AA44" s="192"/>
      <c r="AB44" s="192"/>
      <c r="AC44" s="192"/>
      <c r="AD44" s="192"/>
      <c r="AE44" s="192"/>
    </row>
    <row r="45" spans="1:31" ht="22.5" x14ac:dyDescent="0.25">
      <c r="A45" s="186" t="s">
        <v>210</v>
      </c>
      <c r="B45" s="187"/>
      <c r="C45" s="187"/>
      <c r="D45" s="187"/>
      <c r="E45" s="187"/>
      <c r="F45" s="187"/>
      <c r="G45" s="187"/>
      <c r="H45" s="187"/>
      <c r="I45" s="188" t="s">
        <v>235</v>
      </c>
      <c r="J45" s="188"/>
      <c r="K45" s="188"/>
      <c r="L45" s="188" t="s">
        <v>170</v>
      </c>
      <c r="M45" s="189" t="s">
        <v>219</v>
      </c>
      <c r="N45" s="190"/>
      <c r="O45" s="191"/>
      <c r="P45" s="191"/>
      <c r="Q45" s="191"/>
      <c r="R45" s="191"/>
      <c r="S45" s="191"/>
      <c r="T45" s="191"/>
      <c r="U45" s="104"/>
      <c r="V45" s="192"/>
      <c r="W45" s="192"/>
      <c r="X45" s="192"/>
      <c r="Y45" s="192"/>
      <c r="Z45" s="192"/>
      <c r="AA45" s="192"/>
      <c r="AB45" s="192"/>
      <c r="AC45" s="192"/>
      <c r="AD45" s="192"/>
      <c r="AE45" s="192"/>
    </row>
    <row r="46" spans="1:31" ht="22.5" x14ac:dyDescent="0.25">
      <c r="A46" s="186"/>
      <c r="B46" s="187"/>
      <c r="C46" s="187"/>
      <c r="D46" s="187"/>
      <c r="E46" s="187"/>
      <c r="F46" s="187"/>
      <c r="G46" s="187"/>
      <c r="H46" s="187"/>
      <c r="I46" s="188"/>
      <c r="J46" s="188"/>
      <c r="K46" s="188"/>
      <c r="L46" s="188"/>
      <c r="M46" s="189"/>
      <c r="N46" s="190"/>
      <c r="O46" s="191"/>
      <c r="P46" s="191"/>
      <c r="Q46" s="191"/>
      <c r="R46" s="191"/>
      <c r="S46" s="191"/>
      <c r="T46" s="191"/>
      <c r="U46" s="104"/>
      <c r="V46" s="192"/>
      <c r="W46" s="192"/>
      <c r="X46" s="192"/>
      <c r="Y46" s="192"/>
      <c r="Z46" s="192"/>
      <c r="AA46" s="192"/>
      <c r="AB46" s="192"/>
      <c r="AC46" s="192"/>
      <c r="AD46" s="192"/>
      <c r="AE46" s="192"/>
    </row>
    <row r="47" spans="1:31" ht="35.25" customHeight="1" x14ac:dyDescent="0.25">
      <c r="A47" s="524" t="s">
        <v>87</v>
      </c>
      <c r="B47" s="525"/>
      <c r="C47" s="525"/>
      <c r="D47" s="525"/>
      <c r="E47" s="525"/>
      <c r="F47" s="525"/>
      <c r="G47" s="526"/>
      <c r="H47" s="527" t="s">
        <v>171</v>
      </c>
      <c r="I47" s="527"/>
      <c r="J47" s="553" t="s">
        <v>212</v>
      </c>
      <c r="K47" s="567" t="s">
        <v>220</v>
      </c>
      <c r="L47" s="193"/>
      <c r="M47" s="193"/>
      <c r="N47" s="528" t="s">
        <v>251</v>
      </c>
      <c r="O47" s="528"/>
      <c r="P47" s="528"/>
      <c r="Q47" s="528"/>
      <c r="R47" s="528"/>
      <c r="S47" s="528"/>
      <c r="T47" s="528"/>
      <c r="U47" s="528"/>
      <c r="V47" s="528"/>
      <c r="W47" s="528"/>
      <c r="X47" s="528"/>
      <c r="Y47" s="528"/>
      <c r="Z47" s="528"/>
      <c r="AA47" s="528"/>
      <c r="AB47" s="104"/>
      <c r="AC47" s="104"/>
      <c r="AD47" s="104"/>
      <c r="AE47" s="194"/>
    </row>
    <row r="48" spans="1:31" ht="53.25" customHeight="1" x14ac:dyDescent="0.25">
      <c r="A48" s="524"/>
      <c r="B48" s="526"/>
      <c r="C48" s="529" t="s">
        <v>85</v>
      </c>
      <c r="D48" s="530"/>
      <c r="E48" s="529" t="s">
        <v>86</v>
      </c>
      <c r="F48" s="530"/>
      <c r="G48" s="195"/>
      <c r="H48" s="527"/>
      <c r="I48" s="527"/>
      <c r="J48" s="554"/>
      <c r="K48" s="568"/>
      <c r="L48" s="193"/>
      <c r="M48" s="193"/>
      <c r="N48" s="531" t="s">
        <v>52</v>
      </c>
      <c r="O48" s="532"/>
      <c r="P48" s="533"/>
      <c r="Q48" s="540" t="s">
        <v>51</v>
      </c>
      <c r="R48" s="541"/>
      <c r="S48" s="541"/>
      <c r="T48" s="541"/>
      <c r="U48" s="541"/>
      <c r="V48" s="541"/>
      <c r="W48" s="541"/>
      <c r="X48" s="541"/>
      <c r="Y48" s="541"/>
      <c r="Z48" s="541"/>
      <c r="AA48" s="542"/>
      <c r="AB48" s="104"/>
      <c r="AC48" s="104"/>
      <c r="AD48" s="104"/>
      <c r="AE48" s="194"/>
    </row>
    <row r="49" spans="1:31" ht="51" customHeight="1" x14ac:dyDescent="0.25">
      <c r="A49" s="543" t="s">
        <v>152</v>
      </c>
      <c r="B49" s="544"/>
      <c r="C49" s="545">
        <v>26</v>
      </c>
      <c r="D49" s="546"/>
      <c r="E49" s="545">
        <v>5</v>
      </c>
      <c r="F49" s="546"/>
      <c r="G49" s="196"/>
      <c r="H49" s="555">
        <v>26</v>
      </c>
      <c r="I49" s="555"/>
      <c r="J49" s="195">
        <v>8</v>
      </c>
      <c r="K49" s="195">
        <v>1</v>
      </c>
      <c r="L49" s="193"/>
      <c r="M49" s="193"/>
      <c r="N49" s="534"/>
      <c r="O49" s="535"/>
      <c r="P49" s="536"/>
      <c r="Q49" s="548" t="s">
        <v>40</v>
      </c>
      <c r="R49" s="549"/>
      <c r="S49" s="549"/>
      <c r="T49" s="549"/>
      <c r="U49" s="550"/>
      <c r="V49" s="548" t="s">
        <v>41</v>
      </c>
      <c r="W49" s="550"/>
      <c r="X49" s="548" t="s">
        <v>37</v>
      </c>
      <c r="Y49" s="549"/>
      <c r="Z49" s="549"/>
      <c r="AA49" s="550"/>
      <c r="AB49" s="104"/>
      <c r="AC49" s="104"/>
      <c r="AD49" s="104"/>
      <c r="AE49" s="194"/>
    </row>
    <row r="50" spans="1:31" ht="22.5" x14ac:dyDescent="0.25">
      <c r="A50" s="547"/>
      <c r="B50" s="547"/>
      <c r="C50" s="547"/>
      <c r="D50" s="547"/>
      <c r="E50" s="547"/>
      <c r="F50" s="547"/>
      <c r="G50" s="197"/>
      <c r="H50" s="193"/>
      <c r="I50" s="193"/>
      <c r="J50" s="193"/>
      <c r="K50" s="193"/>
      <c r="L50" s="193"/>
      <c r="M50" s="193"/>
      <c r="N50" s="537"/>
      <c r="O50" s="538"/>
      <c r="P50" s="539"/>
      <c r="Q50" s="548" t="s">
        <v>42</v>
      </c>
      <c r="R50" s="549"/>
      <c r="S50" s="549"/>
      <c r="T50" s="550"/>
      <c r="U50" s="181" t="s">
        <v>43</v>
      </c>
      <c r="V50" s="198" t="s">
        <v>42</v>
      </c>
      <c r="W50" s="198" t="s">
        <v>43</v>
      </c>
      <c r="X50" s="551" t="s">
        <v>42</v>
      </c>
      <c r="Y50" s="552"/>
      <c r="Z50" s="199"/>
      <c r="AA50" s="198" t="s">
        <v>43</v>
      </c>
      <c r="AB50" s="104"/>
      <c r="AC50" s="104"/>
      <c r="AD50" s="104"/>
      <c r="AE50" s="194"/>
    </row>
    <row r="51" spans="1:31" ht="22.5" x14ac:dyDescent="0.25">
      <c r="A51" s="580"/>
      <c r="B51" s="580"/>
      <c r="C51" s="556"/>
      <c r="D51" s="556"/>
      <c r="E51" s="556"/>
      <c r="F51" s="200"/>
      <c r="G51" s="201"/>
      <c r="H51" s="557" t="s">
        <v>44</v>
      </c>
      <c r="I51" s="558"/>
      <c r="J51" s="558"/>
      <c r="K51" s="558"/>
      <c r="L51" s="558"/>
      <c r="M51" s="559"/>
      <c r="N51" s="560">
        <f>16.81-7.24</f>
        <v>9.5699999999999985</v>
      </c>
      <c r="O51" s="561"/>
      <c r="P51" s="562"/>
      <c r="Q51" s="563">
        <v>12</v>
      </c>
      <c r="R51" s="564"/>
      <c r="S51" s="564"/>
      <c r="T51" s="564"/>
      <c r="U51" s="202">
        <v>7.2</v>
      </c>
      <c r="V51" s="203">
        <v>16</v>
      </c>
      <c r="W51" s="204">
        <v>8.75</v>
      </c>
      <c r="X51" s="565">
        <f>Q51+V51</f>
        <v>28</v>
      </c>
      <c r="Y51" s="566"/>
      <c r="Z51" s="205"/>
      <c r="AA51" s="204">
        <f>U51+W51</f>
        <v>15.95</v>
      </c>
      <c r="AB51" s="104"/>
      <c r="AC51" s="104"/>
      <c r="AD51" s="104"/>
      <c r="AE51" s="194"/>
    </row>
    <row r="52" spans="1:31" ht="22.5" x14ac:dyDescent="0.25">
      <c r="A52" s="573"/>
      <c r="B52" s="573"/>
      <c r="C52" s="574"/>
      <c r="D52" s="574"/>
      <c r="E52" s="574"/>
      <c r="F52" s="574"/>
      <c r="G52" s="201"/>
      <c r="H52" s="557" t="s">
        <v>45</v>
      </c>
      <c r="I52" s="558"/>
      <c r="J52" s="558"/>
      <c r="K52" s="558"/>
      <c r="L52" s="558"/>
      <c r="M52" s="559"/>
      <c r="N52" s="575">
        <f>3.25-2.2</f>
        <v>1.0499999999999998</v>
      </c>
      <c r="O52" s="576"/>
      <c r="P52" s="577"/>
      <c r="Q52" s="578">
        <v>0</v>
      </c>
      <c r="R52" s="579"/>
      <c r="S52" s="579"/>
      <c r="T52" s="579"/>
      <c r="U52" s="206">
        <v>0</v>
      </c>
      <c r="V52" s="203">
        <v>9</v>
      </c>
      <c r="W52" s="204">
        <v>1.9</v>
      </c>
      <c r="X52" s="565">
        <f>Q52+V52</f>
        <v>9</v>
      </c>
      <c r="Y52" s="566"/>
      <c r="Z52" s="205"/>
      <c r="AA52" s="204">
        <f>U52+W52</f>
        <v>1.9</v>
      </c>
      <c r="AB52" s="207"/>
      <c r="AC52" s="207"/>
      <c r="AD52" s="104"/>
      <c r="AE52" s="194"/>
    </row>
    <row r="53" spans="1:31" ht="20.25" x14ac:dyDescent="0.15">
      <c r="A53" s="571"/>
      <c r="B53" s="571"/>
      <c r="C53" s="572"/>
      <c r="D53" s="572"/>
      <c r="E53" s="572"/>
      <c r="F53" s="572"/>
      <c r="G53" s="170"/>
      <c r="H53" s="169"/>
      <c r="I53" s="169"/>
      <c r="J53" s="169"/>
      <c r="K53" s="169"/>
      <c r="L53" s="169"/>
      <c r="M53" s="169"/>
      <c r="N53" s="168"/>
      <c r="O53" s="168"/>
      <c r="P53" s="168"/>
      <c r="Q53" s="168"/>
      <c r="R53" s="168"/>
      <c r="S53" s="168"/>
      <c r="T53" s="168"/>
      <c r="AB53" s="34"/>
      <c r="AC53" s="34"/>
      <c r="AE53" s="23"/>
    </row>
    <row r="54" spans="1:31" ht="20.25" x14ac:dyDescent="0.15">
      <c r="B54" s="171"/>
      <c r="AE54" s="23"/>
    </row>
    <row r="55" spans="1:31" ht="25.5" x14ac:dyDescent="0.3">
      <c r="A55" s="569" t="s">
        <v>153</v>
      </c>
      <c r="B55" s="569"/>
      <c r="C55" s="569"/>
      <c r="D55" s="569"/>
      <c r="E55" s="569"/>
      <c r="F55" s="569"/>
      <c r="G55" s="569"/>
      <c r="H55" s="569"/>
      <c r="I55" s="569"/>
      <c r="J55" s="569"/>
      <c r="K55" s="569"/>
      <c r="L55" s="569"/>
      <c r="M55" s="569"/>
      <c r="N55" s="570" t="str">
        <f>AB1</f>
        <v>20.09.2026</v>
      </c>
      <c r="O55" s="570"/>
      <c r="P55" s="570"/>
      <c r="Q55" s="570"/>
      <c r="R55" s="570"/>
      <c r="S55" s="180"/>
      <c r="T55" s="180"/>
      <c r="U55" s="35"/>
      <c r="V55" s="36">
        <f>X39+Y39+Z39+AA39</f>
        <v>166</v>
      </c>
      <c r="X55" t="s">
        <v>46</v>
      </c>
      <c r="AE55" s="23"/>
    </row>
    <row r="56" spans="1:31" x14ac:dyDescent="0.15">
      <c r="AE56" s="23"/>
    </row>
    <row r="57" spans="1:31" ht="25.5" x14ac:dyDescent="0.25">
      <c r="A57" s="569" t="s">
        <v>154</v>
      </c>
      <c r="B57" s="569"/>
      <c r="C57" s="569"/>
      <c r="D57" s="569"/>
      <c r="E57" s="569"/>
      <c r="F57" s="569"/>
      <c r="G57" s="569"/>
      <c r="H57" s="569"/>
      <c r="I57" s="569"/>
      <c r="J57" s="569"/>
      <c r="K57" s="569"/>
      <c r="L57" s="569"/>
      <c r="M57" s="569"/>
      <c r="N57" s="570" t="str">
        <f>AB1</f>
        <v>20.09.2026</v>
      </c>
      <c r="O57" s="570"/>
      <c r="P57" s="570"/>
      <c r="Q57" s="570"/>
      <c r="R57" s="570"/>
      <c r="S57" s="172"/>
      <c r="T57" s="172"/>
      <c r="U57" s="35"/>
      <c r="V57" s="37">
        <f>AB39+AC39+AD39</f>
        <v>112</v>
      </c>
      <c r="AE57" s="23"/>
    </row>
    <row r="58" spans="1:31" x14ac:dyDescent="0.15">
      <c r="U58" s="40"/>
      <c r="AE58" s="23"/>
    </row>
    <row r="59" spans="1:31" x14ac:dyDescent="0.15">
      <c r="AE59" s="23"/>
    </row>
    <row r="60" spans="1:31" x14ac:dyDescent="0.15">
      <c r="AE60" s="23"/>
    </row>
    <row r="61" spans="1:31" x14ac:dyDescent="0.15">
      <c r="AE61" s="23"/>
    </row>
    <row r="62" spans="1:31" x14ac:dyDescent="0.15">
      <c r="AE62" s="23"/>
    </row>
    <row r="63" spans="1:31" x14ac:dyDescent="0.15">
      <c r="AE63" s="23"/>
    </row>
    <row r="66" spans="11:13" x14ac:dyDescent="0.15">
      <c r="K66" s="266" t="s">
        <v>162</v>
      </c>
      <c r="L66" s="266">
        <v>13</v>
      </c>
    </row>
    <row r="67" spans="11:13" x14ac:dyDescent="0.15">
      <c r="K67" s="266" t="s">
        <v>163</v>
      </c>
      <c r="L67" s="266">
        <v>5</v>
      </c>
      <c r="M67" t="s">
        <v>165</v>
      </c>
    </row>
    <row r="68" spans="11:13" x14ac:dyDescent="0.15">
      <c r="K68" s="266" t="s">
        <v>164</v>
      </c>
      <c r="L68" s="266">
        <v>8</v>
      </c>
    </row>
  </sheetData>
  <mergeCells count="93">
    <mergeCell ref="K47:K48"/>
    <mergeCell ref="A57:M57"/>
    <mergeCell ref="N57:R57"/>
    <mergeCell ref="X52:Y52"/>
    <mergeCell ref="A53:B53"/>
    <mergeCell ref="C53:D53"/>
    <mergeCell ref="E53:F53"/>
    <mergeCell ref="A55:M55"/>
    <mergeCell ref="N55:R55"/>
    <mergeCell ref="A52:B52"/>
    <mergeCell ref="C52:D52"/>
    <mergeCell ref="E52:F52"/>
    <mergeCell ref="H52:M52"/>
    <mergeCell ref="N52:P52"/>
    <mergeCell ref="Q52:T52"/>
    <mergeCell ref="A51:B51"/>
    <mergeCell ref="C51:E51"/>
    <mergeCell ref="H51:M51"/>
    <mergeCell ref="N51:P51"/>
    <mergeCell ref="Q51:T51"/>
    <mergeCell ref="X51:Y51"/>
    <mergeCell ref="E49:F49"/>
    <mergeCell ref="H49:I49"/>
    <mergeCell ref="Q49:U49"/>
    <mergeCell ref="V49:W49"/>
    <mergeCell ref="X49:AA49"/>
    <mergeCell ref="A47:G47"/>
    <mergeCell ref="H47:I48"/>
    <mergeCell ref="N47:AA47"/>
    <mergeCell ref="A48:B48"/>
    <mergeCell ref="C48:D48"/>
    <mergeCell ref="E48:F48"/>
    <mergeCell ref="N48:P50"/>
    <mergeCell ref="Q48:AA48"/>
    <mergeCell ref="A49:B49"/>
    <mergeCell ref="C49:D49"/>
    <mergeCell ref="A50:B50"/>
    <mergeCell ref="C50:D50"/>
    <mergeCell ref="E50:F50"/>
    <mergeCell ref="Q50:T50"/>
    <mergeCell ref="X50:Y50"/>
    <mergeCell ref="J47:J48"/>
    <mergeCell ref="AB16:AB18"/>
    <mergeCell ref="AC16:AC18"/>
    <mergeCell ref="AD16:AD18"/>
    <mergeCell ref="E17:F17"/>
    <mergeCell ref="G17:H17"/>
    <mergeCell ref="I17:K17"/>
    <mergeCell ref="M17:M18"/>
    <mergeCell ref="N17:Q17"/>
    <mergeCell ref="X16:Z17"/>
    <mergeCell ref="A13:AE13"/>
    <mergeCell ref="A14:A18"/>
    <mergeCell ref="B14:W14"/>
    <mergeCell ref="X14:AD14"/>
    <mergeCell ref="AE14:AE18"/>
    <mergeCell ref="B15:D15"/>
    <mergeCell ref="E15:R15"/>
    <mergeCell ref="U15:W17"/>
    <mergeCell ref="X15:AA15"/>
    <mergeCell ref="AB15:AD15"/>
    <mergeCell ref="B16:B18"/>
    <mergeCell ref="C16:C18"/>
    <mergeCell ref="D16:D18"/>
    <mergeCell ref="E16:M16"/>
    <mergeCell ref="N16:R16"/>
    <mergeCell ref="AA16:AA18"/>
    <mergeCell ref="E5:F5"/>
    <mergeCell ref="G5:H5"/>
    <mergeCell ref="I5:K5"/>
    <mergeCell ref="M5:M6"/>
    <mergeCell ref="N5:Q5"/>
    <mergeCell ref="X4:Z5"/>
    <mergeCell ref="AA4:AA6"/>
    <mergeCell ref="AB4:AB6"/>
    <mergeCell ref="AC4:AC6"/>
    <mergeCell ref="AD4:AD6"/>
    <mergeCell ref="B1:X1"/>
    <mergeCell ref="AB1:AE1"/>
    <mergeCell ref="A2:A6"/>
    <mergeCell ref="B2:W2"/>
    <mergeCell ref="X2:AD2"/>
    <mergeCell ref="AE2:AE6"/>
    <mergeCell ref="B3:D3"/>
    <mergeCell ref="E3:R3"/>
    <mergeCell ref="U3:W5"/>
    <mergeCell ref="X3:AA3"/>
    <mergeCell ref="AB3:AD3"/>
    <mergeCell ref="B4:B6"/>
    <mergeCell ref="C4:C6"/>
    <mergeCell ref="D4:D6"/>
    <mergeCell ref="E4:M4"/>
    <mergeCell ref="N4:R4"/>
  </mergeCells>
  <pageMargins left="0.38" right="0.27" top="0.74803149606299213" bottom="0.74803149606299213" header="0.31496062992125984" footer="0.31496062992125984"/>
  <pageSetup paperSize="9" scale="25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Excel Android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2</vt:i4>
      </vt:variant>
    </vt:vector>
  </HeadingPairs>
  <TitlesOfParts>
    <vt:vector size="4" baseType="lpstr">
      <vt:lpstr>DRC(9)</vt:lpstr>
      <vt:lpstr>Loading</vt:lpstr>
      <vt:lpstr>DRC(9)!Print_Area</vt:lpstr>
      <vt:lpstr>Loading!Print_Area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ADMIN</cp:lastModifiedBy>
  <cp:lastPrinted>2026-09-18T05:17:05Z</cp:lastPrinted>
  <dcterms:created xsi:type="dcterms:W3CDTF">2011-07-14T19:36:00Z</dcterms:created>
  <dcterms:modified xsi:type="dcterms:W3CDTF">2026-09-18T06:33:59Z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1033-11.2.0.9255</vt:lpwstr>
  </property>
  <property fmtid="{D5CDD505-2E9C-101B-9397-08002B2CF9AE}" pid="3" name="ICV">
    <vt:lpwstr>6f82a5a21acc4c649e4db74f968a3e8f</vt:lpwstr>
  </property>
</Properties>
</file>